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lores" sheetId="1" r:id="rId4"/>
    <sheet state="visible" name="Gráficos" sheetId="2" r:id="rId5"/>
  </sheets>
  <definedNames/>
  <calcPr/>
</workbook>
</file>

<file path=xl/sharedStrings.xml><?xml version="1.0" encoding="utf-8"?>
<sst xmlns="http://schemas.openxmlformats.org/spreadsheetml/2006/main" count="80" uniqueCount="59">
  <si>
    <t>Tempo de Execução</t>
  </si>
  <si>
    <t>Dimensões da Matriz</t>
  </si>
  <si>
    <t>Simples (C/C++)</t>
  </si>
  <si>
    <t>Simples (Java)</t>
  </si>
  <si>
    <t>Por Linha (C/C++)</t>
  </si>
  <si>
    <t>Por Linha (Java)</t>
  </si>
  <si>
    <t>Tempo Simples (C/C++)</t>
  </si>
  <si>
    <t>Tempo Simples (Java)</t>
  </si>
  <si>
    <t>Tempo Por Linha (C/C++)</t>
  </si>
  <si>
    <t>Tempo Por Linha (Java)</t>
  </si>
  <si>
    <t>Cache Misses</t>
  </si>
  <si>
    <t>L1 Cache Misses Simples (C/C++)</t>
  </si>
  <si>
    <t>L2 Cache Misses Simples (C/C++)</t>
  </si>
  <si>
    <t>L1 Cache Misses Por Linha (C/C++)</t>
  </si>
  <si>
    <t>L2 Cache Misses Por Linha (C/C++)</t>
  </si>
  <si>
    <t>L1 Cache Misses Por Linha(C/C++)</t>
  </si>
  <si>
    <t>Paralelo</t>
  </si>
  <si>
    <t xml:space="preserve">Multiplicação Por Linha Paralela OMP1 (C/C++) </t>
  </si>
  <si>
    <t>Multiplicação Por Linha Paralela OMP2 (C/C++)</t>
  </si>
  <si>
    <t xml:space="preserve">Multiplicação Por Linha Paralela OMP1 </t>
  </si>
  <si>
    <t>Multiplicação Por Linha Paralela OMP2</t>
  </si>
  <si>
    <t>Tempo 128 bkSize</t>
  </si>
  <si>
    <t>Tempo 256 bkSize</t>
  </si>
  <si>
    <t>Tempo 512 bkSize</t>
  </si>
  <si>
    <t>Tempo Bloco C/C++ (128 bkSize)</t>
  </si>
  <si>
    <t>Tempo Bloco C/C++ (256 bkSize)</t>
  </si>
  <si>
    <t>Tempo Bloco C/C++ (512 bkSize)</t>
  </si>
  <si>
    <t>383.921</t>
  </si>
  <si>
    <t>425.155</t>
  </si>
  <si>
    <t>798.074</t>
  </si>
  <si>
    <t>776.268</t>
  </si>
  <si>
    <t>L1 Cache Misses</t>
  </si>
  <si>
    <t>L1 Cache Misses 128 bkSize</t>
  </si>
  <si>
    <t>L1 Cache Misses 256 bkSize</t>
  </si>
  <si>
    <t>L1 Cache Misses 512 bkSize</t>
  </si>
  <si>
    <t>L1 Bloco C/C++ (128 bkSize)</t>
  </si>
  <si>
    <t>L1 Bloco C/C++ (256 bkSize)</t>
  </si>
  <si>
    <t>L1 Bloco C/C++ (512 bkSize)</t>
  </si>
  <si>
    <t>L2 Cache Misses</t>
  </si>
  <si>
    <t>L2 Cache Misses 128 bkSize</t>
  </si>
  <si>
    <t>L2 Cache Misses 256 bkSize</t>
  </si>
  <si>
    <t>L2 Cache Misses 512 bkSize</t>
  </si>
  <si>
    <t>L2 Bloco C/C++ (128 bkSize)</t>
  </si>
  <si>
    <t>L2 Bloco C/C++ (256 bkSize)</t>
  </si>
  <si>
    <t>L2 Bloco C/C++ (512 bkSize)</t>
  </si>
  <si>
    <t>Speedup</t>
  </si>
  <si>
    <t xml:space="preserve"> Simples Por Linha vs OMP1 Paralelo</t>
  </si>
  <si>
    <t xml:space="preserve">Simples Por Linha vs OMP2 Paralelo </t>
  </si>
  <si>
    <t>Speedup = Tsequencial / Tparalelo</t>
  </si>
  <si>
    <t>Eficiência</t>
  </si>
  <si>
    <t>OMP1 Paralelo vs Simples Por Linha</t>
  </si>
  <si>
    <t>OMP2 Paralelo vs Simples Por Linha</t>
  </si>
  <si>
    <t>Eficência (%) = (Speedup / Nº threads usadas) *100</t>
  </si>
  <si>
    <t>(neste caso 4 threads)</t>
  </si>
  <si>
    <t>MFLOPS</t>
  </si>
  <si>
    <t>Multiplicação Por Linha Paralela OMP1</t>
  </si>
  <si>
    <t xml:space="preserve">Multiplicação Por Linha Paralela OMP2 </t>
  </si>
  <si>
    <t>MFLOPS = Nº de operações / (Texecução * 10^6)</t>
  </si>
  <si>
    <t>Nº de operações = 2 * (m_ar)^3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</si>
</sst>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sz val="12.0"/>
      <color theme="1"/>
      <name val="Arial"/>
    </font>
    <font/>
    <font>
      <sz val="12.0"/>
      <color rgb="FF000000"/>
      <name val="Arial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0" fontId="2" numFmtId="0" xfId="0" applyBorder="1" applyFont="1"/>
    <xf borderId="4" fillId="0" fontId="2" numFmtId="0" xfId="0" applyBorder="1" applyFont="1"/>
    <xf borderId="0" fillId="0" fontId="1" numFmtId="0" xfId="0" applyAlignment="1" applyFont="1">
      <alignment horizontal="center"/>
    </xf>
    <xf borderId="1" fillId="0" fontId="1" numFmtId="0" xfId="0" applyBorder="1" applyFont="1"/>
    <xf borderId="1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6" fillId="0" fontId="1" numFmtId="0" xfId="0" applyAlignment="1" applyBorder="1" applyFont="1">
      <alignment horizontal="center" readingOrder="0"/>
    </xf>
    <xf borderId="6" fillId="0" fontId="1" numFmtId="0" xfId="0" applyAlignment="1" applyBorder="1" applyFont="1">
      <alignment horizontal="center"/>
    </xf>
    <xf borderId="6" fillId="0" fontId="1" numFmtId="0" xfId="0" applyBorder="1" applyFont="1"/>
    <xf borderId="5" fillId="0" fontId="3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7" fillId="0" fontId="1" numFmtId="0" xfId="0" applyAlignment="1" applyBorder="1" applyFont="1">
      <alignment horizontal="center" readingOrder="0"/>
    </xf>
    <xf borderId="8" fillId="0" fontId="1" numFmtId="0" xfId="0" applyAlignment="1" applyBorder="1" applyFont="1">
      <alignment horizontal="center" readingOrder="0"/>
    </xf>
    <xf borderId="9" fillId="0" fontId="1" numFmtId="0" xfId="0" applyAlignment="1" applyBorder="1" applyFont="1">
      <alignment horizontal="center" readingOrder="0"/>
    </xf>
    <xf borderId="8" fillId="0" fontId="1" numFmtId="0" xfId="0" applyAlignment="1" applyBorder="1" applyFont="1">
      <alignment horizontal="center"/>
    </xf>
    <xf borderId="9" fillId="0" fontId="1" numFmtId="0" xfId="0" applyAlignment="1" applyBorder="1" applyFont="1">
      <alignment horizontal="center"/>
    </xf>
    <xf borderId="0" fillId="0" fontId="3" numFmtId="0" xfId="0" applyFont="1"/>
    <xf borderId="6" fillId="0" fontId="3" numFmtId="0" xfId="0" applyBorder="1" applyFont="1"/>
    <xf borderId="8" fillId="0" fontId="1" numFmtId="0" xfId="0" applyBorder="1" applyFont="1"/>
    <xf borderId="9" fillId="0" fontId="1" numFmtId="0" xfId="0" applyBorder="1" applyFont="1"/>
    <xf borderId="0" fillId="0" fontId="3" numFmtId="0" xfId="0" applyAlignment="1" applyFont="1">
      <alignment horizontal="right"/>
    </xf>
    <xf borderId="6" fillId="0" fontId="3" numFmtId="0" xfId="0" applyAlignment="1" applyBorder="1" applyFont="1">
      <alignment horizontal="right"/>
    </xf>
    <xf borderId="7" fillId="0" fontId="3" numFmtId="0" xfId="0" applyAlignment="1" applyBorder="1" applyFont="1">
      <alignment horizontal="center" readingOrder="0"/>
    </xf>
    <xf borderId="8" fillId="0" fontId="3" numFmtId="0" xfId="0" applyAlignment="1" applyBorder="1" applyFont="1">
      <alignment horizontal="center" readingOrder="0"/>
    </xf>
    <xf borderId="8" fillId="0" fontId="3" numFmtId="0" xfId="0" applyAlignment="1" applyBorder="1" applyFont="1">
      <alignment horizontal="right"/>
    </xf>
    <xf borderId="9" fillId="0" fontId="3" numFmtId="0" xfId="0" applyAlignment="1" applyBorder="1" applyFont="1">
      <alignment horizontal="right"/>
    </xf>
    <xf borderId="0" fillId="0" fontId="4" numFmtId="0" xfId="0" applyAlignment="1" applyFont="1">
      <alignment horizontal="center"/>
    </xf>
    <xf borderId="0" fillId="0" fontId="1" numFmtId="0" xfId="0" applyAlignment="1" applyFont="1">
      <alignment vertical="bottom"/>
    </xf>
    <xf borderId="2" fillId="2" fontId="1" numFmtId="0" xfId="0" applyAlignment="1" applyBorder="1" applyFont="1">
      <alignment horizontal="center" readingOrder="0" vertical="bottom"/>
    </xf>
    <xf borderId="0" fillId="0" fontId="1" numFmtId="0" xfId="0" applyAlignment="1" applyFont="1">
      <alignment horizontal="center" vertical="bottom"/>
    </xf>
    <xf borderId="6" fillId="0" fontId="3" numFmtId="0" xfId="0" applyAlignment="1" applyBorder="1" applyFont="1">
      <alignment horizontal="center" readingOrder="0"/>
    </xf>
    <xf borderId="0" fillId="0" fontId="1" numFmtId="0" xfId="0" applyAlignment="1" applyFont="1">
      <alignment horizontal="right" vertical="bottom"/>
    </xf>
    <xf borderId="5" fillId="0" fontId="1" numFmtId="0" xfId="0" applyAlignment="1" applyBorder="1" applyFont="1">
      <alignment horizontal="center" readingOrder="0" vertical="bottom"/>
    </xf>
    <xf borderId="0" fillId="0" fontId="1" numFmtId="0" xfId="0" applyAlignment="1" applyFont="1">
      <alignment horizontal="center" readingOrder="0" vertical="bottom"/>
    </xf>
    <xf borderId="6" fillId="0" fontId="1" numFmtId="0" xfId="0" applyAlignment="1" applyBorder="1" applyFont="1">
      <alignment horizontal="right" vertical="bottom"/>
    </xf>
    <xf borderId="9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5" fillId="0" fontId="1" numFmtId="0" xfId="0" applyAlignment="1" applyBorder="1" applyFont="1">
      <alignment horizontal="center" vertical="bottom"/>
    </xf>
    <xf borderId="7" fillId="0" fontId="1" numFmtId="0" xfId="0" applyAlignment="1" applyBorder="1" applyFont="1">
      <alignment horizontal="center" readingOrder="0" vertical="bottom"/>
    </xf>
    <xf borderId="8" fillId="0" fontId="1" numFmtId="0" xfId="0" applyAlignment="1" applyBorder="1" applyFont="1">
      <alignment horizontal="center" readingOrder="0" vertical="bottom"/>
    </xf>
    <xf borderId="8" fillId="0" fontId="1" numFmtId="0" xfId="0" applyAlignment="1" applyBorder="1" applyFont="1">
      <alignment horizontal="right" vertical="bottom"/>
    </xf>
    <xf borderId="9" fillId="0" fontId="1" numFmtId="0" xfId="0" applyAlignment="1" applyBorder="1" applyFont="1">
      <alignment horizontal="right" vertical="bottom"/>
    </xf>
    <xf borderId="0" fillId="0" fontId="5" numFmtId="0" xfId="0" applyFont="1"/>
    <xf borderId="1" fillId="0" fontId="3" numFmtId="0" xfId="0" applyAlignment="1" applyBorder="1" applyFont="1">
      <alignment readingOrder="0"/>
    </xf>
    <xf borderId="1" fillId="2" fontId="3" numFmtId="0" xfId="0" applyAlignment="1" applyBorder="1" applyFont="1">
      <alignment readingOrder="0"/>
    </xf>
    <xf borderId="1" fillId="0" fontId="3" numFmtId="0" xfId="0" applyBorder="1" applyFont="1"/>
    <xf borderId="1" fillId="2" fontId="1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2" fillId="2" fontId="3" numFmtId="0" xfId="0" applyAlignment="1" applyBorder="1" applyFont="1">
      <alignment horizontal="center" readingOrder="0"/>
    </xf>
    <xf borderId="6" fillId="0" fontId="5" numFmtId="0" xfId="0" applyBorder="1" applyFont="1"/>
    <xf borderId="8" fillId="0" fontId="5" numFmtId="0" xfId="0" applyBorder="1" applyFont="1"/>
    <xf borderId="9" fillId="0" fontId="5" numFmtId="0" xfId="0" applyBorder="1" applyFont="1"/>
    <xf borderId="1" fillId="2" fontId="3" numFmtId="0" xfId="0" applyAlignment="1" applyBorder="1" applyFont="1">
      <alignment horizontal="center"/>
    </xf>
    <xf borderId="0" fillId="0" fontId="5" numFmtId="0" xfId="0" applyAlignment="1" applyFont="1">
      <alignment horizontal="right" vertical="bottom"/>
    </xf>
    <xf borderId="8" fillId="0" fontId="3" numFmtId="0" xfId="0" applyAlignment="1" applyBorder="1" applyFont="1">
      <alignment readingOrder="0"/>
    </xf>
    <xf borderId="8" fillId="0" fontId="3" numFmtId="0" xfId="0" applyBorder="1" applyFont="1"/>
    <xf borderId="1" fillId="0" fontId="1" numFmtId="0" xfId="0" applyAlignment="1" applyBorder="1" applyFont="1">
      <alignment readingOrder="0" vertical="bottom"/>
    </xf>
    <xf borderId="1" fillId="2" fontId="1" numFmtId="0" xfId="0" applyAlignment="1" applyBorder="1" applyFont="1">
      <alignment horizontal="center" readingOrder="0" vertical="bottom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1" fillId="0" fontId="1" numFmtId="0" xfId="0" applyAlignment="1" applyBorder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4.75"/>
    <col customWidth="1" min="2" max="2" width="10.88"/>
    <col customWidth="1" min="3" max="3" width="30.63"/>
    <col customWidth="1" min="4" max="4" width="44.5"/>
    <col customWidth="1" min="5" max="7" width="34.25"/>
    <col customWidth="1" min="8" max="8" width="10.88"/>
    <col customWidth="1" min="9" max="9" width="30.88"/>
    <col customWidth="1" min="10" max="11" width="14.38"/>
    <col customWidth="1" min="12" max="14" width="13.25"/>
    <col customWidth="1" min="15" max="15" width="10.88"/>
    <col customWidth="1" min="16" max="16" width="30.63"/>
    <col customWidth="1" min="17" max="17" width="14.38"/>
    <col customWidth="1" min="18" max="21" width="12.13"/>
    <col customWidth="1" min="22" max="22" width="10.88"/>
    <col customWidth="1" min="23" max="23" width="34.38"/>
    <col customWidth="1" min="24" max="28" width="14.38"/>
    <col customWidth="1" min="29" max="29" width="6.5"/>
    <col customWidth="1" min="30" max="30" width="34.38"/>
    <col customWidth="1" min="31" max="34" width="14.38"/>
  </cols>
  <sheetData>
    <row r="1" ht="15.75" customHeight="1">
      <c r="Y1" s="1"/>
      <c r="Z1" s="1"/>
      <c r="AA1" s="1"/>
    </row>
    <row r="2" ht="15.75" customHeight="1">
      <c r="A2" s="2" t="s">
        <v>0</v>
      </c>
      <c r="B2" s="3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1"/>
      <c r="H2" s="1"/>
      <c r="I2" s="5" t="s">
        <v>6</v>
      </c>
      <c r="J2" s="6"/>
      <c r="K2" s="6"/>
      <c r="L2" s="6"/>
      <c r="M2" s="7"/>
      <c r="N2" s="8"/>
      <c r="O2" s="1"/>
      <c r="P2" s="5" t="s">
        <v>7</v>
      </c>
      <c r="Q2" s="6"/>
      <c r="R2" s="6"/>
      <c r="S2" s="6"/>
      <c r="T2" s="7"/>
      <c r="U2" s="8"/>
      <c r="V2" s="1"/>
      <c r="W2" s="5" t="s">
        <v>8</v>
      </c>
      <c r="X2" s="6"/>
      <c r="Y2" s="6"/>
      <c r="Z2" s="6"/>
      <c r="AA2" s="7"/>
      <c r="AB2" s="8"/>
      <c r="AC2" s="1"/>
      <c r="AD2" s="5" t="s">
        <v>9</v>
      </c>
      <c r="AE2" s="6"/>
      <c r="AF2" s="6"/>
      <c r="AG2" s="6"/>
      <c r="AH2" s="7"/>
    </row>
    <row r="3" ht="15.75" customHeight="1">
      <c r="A3" s="1"/>
      <c r="B3" s="9">
        <v>600.0</v>
      </c>
      <c r="C3" s="10">
        <f t="shared" ref="C3:C9" si="1">AVERAGE(I3:M3)</f>
        <v>0.416</v>
      </c>
      <c r="D3" s="10">
        <f t="shared" ref="D3:D9" si="2">AVERAGE(P3:T3)</f>
        <v>0.9616666667</v>
      </c>
      <c r="E3" s="10">
        <f t="shared" ref="E3:E13" si="3">AVERAGE(W3:Y3)</f>
        <v>0.1636666667</v>
      </c>
      <c r="F3" s="10">
        <f t="shared" ref="F3:F9" si="4">AVERAGE(AD3:AF3)</f>
        <v>0.1283333333</v>
      </c>
      <c r="G3" s="2"/>
      <c r="H3" s="1">
        <v>600.0</v>
      </c>
      <c r="I3" s="11">
        <v>0.46</v>
      </c>
      <c r="J3" s="12">
        <v>0.353</v>
      </c>
      <c r="K3" s="12">
        <v>0.355</v>
      </c>
      <c r="L3" s="12">
        <v>0.538</v>
      </c>
      <c r="M3" s="13">
        <v>0.374</v>
      </c>
      <c r="N3" s="1"/>
      <c r="O3" s="1">
        <v>600.0</v>
      </c>
      <c r="P3" s="11">
        <v>1.286</v>
      </c>
      <c r="Q3" s="12">
        <v>0.747</v>
      </c>
      <c r="R3" s="12">
        <v>0.852</v>
      </c>
      <c r="S3" s="8"/>
      <c r="T3" s="14"/>
      <c r="U3" s="1"/>
      <c r="V3" s="1">
        <v>600.0</v>
      </c>
      <c r="W3" s="11">
        <v>0.147</v>
      </c>
      <c r="X3" s="12">
        <v>0.175</v>
      </c>
      <c r="Y3" s="12">
        <v>0.169</v>
      </c>
      <c r="Z3" s="1"/>
      <c r="AA3" s="15"/>
      <c r="AB3" s="1"/>
      <c r="AC3" s="1">
        <v>600.0</v>
      </c>
      <c r="AD3" s="11">
        <v>0.174</v>
      </c>
      <c r="AE3" s="12">
        <v>0.112</v>
      </c>
      <c r="AF3" s="12">
        <v>0.099</v>
      </c>
      <c r="AG3" s="1"/>
      <c r="AH3" s="15"/>
    </row>
    <row r="4" ht="15.75" customHeight="1">
      <c r="A4" s="1"/>
      <c r="B4" s="9">
        <v>1000.0</v>
      </c>
      <c r="C4" s="10">
        <f t="shared" si="1"/>
        <v>2.0752</v>
      </c>
      <c r="D4" s="10">
        <f t="shared" si="2"/>
        <v>2.078333333</v>
      </c>
      <c r="E4" s="10">
        <f t="shared" si="3"/>
        <v>0.7663333333</v>
      </c>
      <c r="F4" s="10">
        <f t="shared" si="4"/>
        <v>0.5733333333</v>
      </c>
      <c r="G4" s="1"/>
      <c r="H4" s="1">
        <v>1000.0</v>
      </c>
      <c r="I4" s="11">
        <v>2.118</v>
      </c>
      <c r="J4" s="12">
        <v>1.971</v>
      </c>
      <c r="K4" s="12">
        <v>1.92</v>
      </c>
      <c r="L4" s="12">
        <v>1.947</v>
      </c>
      <c r="M4" s="13">
        <v>2.42</v>
      </c>
      <c r="N4" s="1"/>
      <c r="O4" s="1">
        <v>1000.0</v>
      </c>
      <c r="P4" s="11">
        <v>1.746</v>
      </c>
      <c r="Q4" s="12">
        <v>2.475</v>
      </c>
      <c r="R4" s="12">
        <v>2.014</v>
      </c>
      <c r="S4" s="8"/>
      <c r="T4" s="14"/>
      <c r="U4" s="1"/>
      <c r="V4" s="1">
        <v>1000.0</v>
      </c>
      <c r="W4" s="11">
        <v>0.774</v>
      </c>
      <c r="X4" s="12">
        <v>0.792</v>
      </c>
      <c r="Y4" s="12">
        <v>0.733</v>
      </c>
      <c r="Z4" s="1"/>
      <c r="AA4" s="15"/>
      <c r="AB4" s="1"/>
      <c r="AC4" s="1">
        <v>1000.0</v>
      </c>
      <c r="AD4" s="11">
        <v>0.525</v>
      </c>
      <c r="AE4" s="12">
        <v>0.56</v>
      </c>
      <c r="AF4" s="12">
        <v>0.635</v>
      </c>
      <c r="AG4" s="1"/>
      <c r="AH4" s="15"/>
    </row>
    <row r="5" ht="15.75" customHeight="1">
      <c r="A5" s="1"/>
      <c r="B5" s="9">
        <v>1400.0</v>
      </c>
      <c r="C5" s="10">
        <f t="shared" si="1"/>
        <v>5.4638</v>
      </c>
      <c r="D5" s="10">
        <f t="shared" si="2"/>
        <v>7.069666667</v>
      </c>
      <c r="E5" s="10">
        <f t="shared" si="3"/>
        <v>2.367333333</v>
      </c>
      <c r="F5" s="10">
        <f t="shared" si="4"/>
        <v>2.362</v>
      </c>
      <c r="G5" s="1"/>
      <c r="H5" s="1">
        <v>1400.0</v>
      </c>
      <c r="I5" s="11">
        <v>5.585</v>
      </c>
      <c r="J5" s="12">
        <v>5.541</v>
      </c>
      <c r="K5" s="12">
        <v>5.421</v>
      </c>
      <c r="L5" s="12">
        <v>5.362</v>
      </c>
      <c r="M5" s="13">
        <v>5.41</v>
      </c>
      <c r="N5" s="1"/>
      <c r="O5" s="1">
        <v>1400.0</v>
      </c>
      <c r="P5" s="11">
        <v>5.699</v>
      </c>
      <c r="Q5" s="12">
        <v>6.564</v>
      </c>
      <c r="R5" s="12">
        <v>8.946</v>
      </c>
      <c r="S5" s="8"/>
      <c r="T5" s="14"/>
      <c r="U5" s="1"/>
      <c r="V5" s="1">
        <v>1400.0</v>
      </c>
      <c r="W5" s="11">
        <v>2.749</v>
      </c>
      <c r="X5" s="12">
        <v>2.312</v>
      </c>
      <c r="Y5" s="12">
        <v>2.041</v>
      </c>
      <c r="Z5" s="1"/>
      <c r="AA5" s="15"/>
      <c r="AB5" s="1"/>
      <c r="AC5" s="1">
        <v>1400.0</v>
      </c>
      <c r="AD5" s="11">
        <v>1.617</v>
      </c>
      <c r="AE5" s="12">
        <v>2.855</v>
      </c>
      <c r="AF5" s="12">
        <v>2.614</v>
      </c>
      <c r="AG5" s="1"/>
      <c r="AH5" s="15"/>
    </row>
    <row r="6" ht="15.75" customHeight="1">
      <c r="A6" s="1"/>
      <c r="B6" s="9">
        <v>1800.0</v>
      </c>
      <c r="C6" s="10">
        <f t="shared" si="1"/>
        <v>15.204</v>
      </c>
      <c r="D6" s="10">
        <f t="shared" si="2"/>
        <v>19.704</v>
      </c>
      <c r="E6" s="10">
        <f t="shared" si="3"/>
        <v>5.427333333</v>
      </c>
      <c r="F6" s="10">
        <f t="shared" si="4"/>
        <v>2.910333333</v>
      </c>
      <c r="G6" s="1"/>
      <c r="H6" s="1">
        <v>1800.0</v>
      </c>
      <c r="I6" s="11">
        <v>15.574</v>
      </c>
      <c r="J6" s="12">
        <v>16.93</v>
      </c>
      <c r="K6" s="12">
        <v>14.809</v>
      </c>
      <c r="L6" s="12">
        <v>14.858</v>
      </c>
      <c r="M6" s="13">
        <v>13.849</v>
      </c>
      <c r="N6" s="1"/>
      <c r="O6" s="1">
        <v>1800.0</v>
      </c>
      <c r="P6" s="11">
        <v>19.982</v>
      </c>
      <c r="Q6" s="12">
        <v>17.15</v>
      </c>
      <c r="R6" s="12">
        <v>21.98</v>
      </c>
      <c r="S6" s="8"/>
      <c r="T6" s="14"/>
      <c r="U6" s="1"/>
      <c r="V6" s="1">
        <v>1800.0</v>
      </c>
      <c r="W6" s="11">
        <v>5.78</v>
      </c>
      <c r="X6" s="12">
        <v>5.411</v>
      </c>
      <c r="Y6" s="12">
        <v>5.091</v>
      </c>
      <c r="Z6" s="1"/>
      <c r="AA6" s="15"/>
      <c r="AB6" s="1"/>
      <c r="AC6" s="1">
        <v>1800.0</v>
      </c>
      <c r="AD6" s="11">
        <v>2.894</v>
      </c>
      <c r="AE6" s="12">
        <v>2.716</v>
      </c>
      <c r="AF6" s="12">
        <v>3.121</v>
      </c>
      <c r="AG6" s="1"/>
      <c r="AH6" s="15"/>
    </row>
    <row r="7" ht="15.75" customHeight="1">
      <c r="A7" s="1"/>
      <c r="B7" s="9">
        <v>2200.0</v>
      </c>
      <c r="C7" s="10">
        <f t="shared" si="1"/>
        <v>56.5174</v>
      </c>
      <c r="D7" s="10">
        <f t="shared" si="2"/>
        <v>54.645</v>
      </c>
      <c r="E7" s="10">
        <f t="shared" si="3"/>
        <v>8.733</v>
      </c>
      <c r="F7" s="10">
        <f t="shared" si="4"/>
        <v>5.640666667</v>
      </c>
      <c r="G7" s="1"/>
      <c r="H7" s="1">
        <v>2200.0</v>
      </c>
      <c r="I7" s="11">
        <v>48.935</v>
      </c>
      <c r="J7" s="12">
        <v>52.864</v>
      </c>
      <c r="K7" s="12">
        <v>59.11</v>
      </c>
      <c r="L7" s="12">
        <v>62.169</v>
      </c>
      <c r="M7" s="13">
        <v>59.509</v>
      </c>
      <c r="N7" s="1"/>
      <c r="O7" s="1">
        <v>2200.0</v>
      </c>
      <c r="P7" s="11">
        <v>56.786</v>
      </c>
      <c r="Q7" s="12">
        <v>53.858</v>
      </c>
      <c r="R7" s="12">
        <v>53.291</v>
      </c>
      <c r="S7" s="8"/>
      <c r="T7" s="14"/>
      <c r="U7" s="1"/>
      <c r="V7" s="1">
        <v>2200.0</v>
      </c>
      <c r="W7" s="11">
        <v>9.765</v>
      </c>
      <c r="X7" s="12">
        <v>8.288</v>
      </c>
      <c r="Y7" s="12">
        <v>8.146</v>
      </c>
      <c r="Z7" s="1"/>
      <c r="AA7" s="15"/>
      <c r="AB7" s="1"/>
      <c r="AC7" s="1">
        <v>2200.0</v>
      </c>
      <c r="AD7" s="11">
        <v>5.598</v>
      </c>
      <c r="AE7" s="12">
        <v>5.704</v>
      </c>
      <c r="AF7" s="12">
        <v>5.62</v>
      </c>
      <c r="AG7" s="1"/>
      <c r="AH7" s="15"/>
    </row>
    <row r="8" ht="15.75" customHeight="1">
      <c r="A8" s="1"/>
      <c r="B8" s="9">
        <v>2600.0</v>
      </c>
      <c r="C8" s="10">
        <f t="shared" si="1"/>
        <v>114.9558</v>
      </c>
      <c r="D8" s="10">
        <f t="shared" si="2"/>
        <v>125.5593333</v>
      </c>
      <c r="E8" s="10">
        <f t="shared" si="3"/>
        <v>14.39333333</v>
      </c>
      <c r="F8" s="10">
        <f t="shared" si="4"/>
        <v>9.134666667</v>
      </c>
      <c r="G8" s="1"/>
      <c r="H8" s="1">
        <v>2600.0</v>
      </c>
      <c r="I8" s="11">
        <v>138.565</v>
      </c>
      <c r="J8" s="12">
        <v>111.577</v>
      </c>
      <c r="K8" s="12">
        <v>109.142</v>
      </c>
      <c r="L8" s="12">
        <v>111.079</v>
      </c>
      <c r="M8" s="13">
        <v>104.416</v>
      </c>
      <c r="N8" s="1"/>
      <c r="O8" s="1">
        <v>2600.0</v>
      </c>
      <c r="P8" s="11">
        <v>122.33</v>
      </c>
      <c r="Q8" s="12">
        <v>139.036</v>
      </c>
      <c r="R8" s="12">
        <v>115.312</v>
      </c>
      <c r="S8" s="8"/>
      <c r="T8" s="14"/>
      <c r="U8" s="1"/>
      <c r="V8" s="1">
        <v>2600.0</v>
      </c>
      <c r="W8" s="16">
        <v>14.582</v>
      </c>
      <c r="X8" s="17">
        <v>14.325</v>
      </c>
      <c r="Y8" s="17">
        <v>14.273</v>
      </c>
      <c r="Z8" s="1"/>
      <c r="AA8" s="15"/>
      <c r="AB8" s="1"/>
      <c r="AC8" s="1">
        <v>2600.0</v>
      </c>
      <c r="AD8" s="11">
        <v>9.052</v>
      </c>
      <c r="AE8" s="12">
        <v>8.738</v>
      </c>
      <c r="AF8" s="12">
        <v>9.614</v>
      </c>
      <c r="AG8" s="1"/>
      <c r="AH8" s="15"/>
    </row>
    <row r="9" ht="15.75" customHeight="1">
      <c r="A9" s="1"/>
      <c r="B9" s="9">
        <v>3000.0</v>
      </c>
      <c r="C9" s="10">
        <f t="shared" si="1"/>
        <v>199.575</v>
      </c>
      <c r="D9" s="10">
        <f t="shared" si="2"/>
        <v>217.863</v>
      </c>
      <c r="E9" s="10">
        <f t="shared" si="3"/>
        <v>21.93866667</v>
      </c>
      <c r="F9" s="10">
        <f t="shared" si="4"/>
        <v>15.52966667</v>
      </c>
      <c r="G9" s="1"/>
      <c r="H9" s="1">
        <v>3000.0</v>
      </c>
      <c r="I9" s="18">
        <v>189.668</v>
      </c>
      <c r="J9" s="19">
        <v>183.124</v>
      </c>
      <c r="K9" s="19">
        <v>188.997</v>
      </c>
      <c r="L9" s="19">
        <v>212.145</v>
      </c>
      <c r="M9" s="20">
        <v>223.941</v>
      </c>
      <c r="N9" s="1"/>
      <c r="O9" s="1">
        <v>3000.0</v>
      </c>
      <c r="P9" s="18">
        <v>219.99</v>
      </c>
      <c r="Q9" s="19">
        <v>222.106</v>
      </c>
      <c r="R9" s="19">
        <v>211.493</v>
      </c>
      <c r="S9" s="21"/>
      <c r="T9" s="22"/>
      <c r="U9" s="1"/>
      <c r="V9" s="1">
        <v>3000.0</v>
      </c>
      <c r="W9" s="16">
        <v>20.424</v>
      </c>
      <c r="X9" s="17">
        <v>22.96</v>
      </c>
      <c r="Y9" s="17">
        <v>22.432</v>
      </c>
      <c r="Z9" s="23"/>
      <c r="AA9" s="24"/>
      <c r="AB9" s="23"/>
      <c r="AC9" s="1">
        <v>3000.0</v>
      </c>
      <c r="AD9" s="18">
        <v>15.321</v>
      </c>
      <c r="AE9" s="19">
        <v>14.867</v>
      </c>
      <c r="AF9" s="19">
        <v>16.401</v>
      </c>
      <c r="AG9" s="25"/>
      <c r="AH9" s="26"/>
    </row>
    <row r="10" ht="15.75" customHeight="1">
      <c r="A10" s="1"/>
      <c r="B10" s="9">
        <v>4096.0</v>
      </c>
      <c r="C10" s="10"/>
      <c r="D10" s="10"/>
      <c r="E10" s="10">
        <f t="shared" si="3"/>
        <v>59.31266667</v>
      </c>
      <c r="F10" s="10"/>
      <c r="G10" s="1"/>
      <c r="H10" s="1"/>
      <c r="I10" s="8"/>
      <c r="J10" s="8"/>
      <c r="K10" s="8"/>
      <c r="L10" s="8"/>
      <c r="M10" s="8"/>
      <c r="N10" s="1"/>
      <c r="O10" s="1"/>
      <c r="P10" s="8"/>
      <c r="Q10" s="8"/>
      <c r="R10" s="8"/>
      <c r="S10" s="8"/>
      <c r="T10" s="8"/>
      <c r="U10" s="1"/>
      <c r="V10" s="1">
        <v>4096.0</v>
      </c>
      <c r="W10" s="16">
        <v>57.389</v>
      </c>
      <c r="X10" s="17">
        <v>59.112</v>
      </c>
      <c r="Y10" s="17">
        <v>61.437</v>
      </c>
      <c r="Z10" s="27"/>
      <c r="AA10" s="28"/>
      <c r="AB10" s="27"/>
      <c r="AC10" s="1"/>
      <c r="AD10" s="1"/>
      <c r="AE10" s="1"/>
      <c r="AF10" s="1"/>
      <c r="AG10" s="1"/>
      <c r="AH10" s="1"/>
    </row>
    <row r="11" ht="15.75" customHeight="1">
      <c r="A11" s="1"/>
      <c r="B11" s="9">
        <v>6144.0</v>
      </c>
      <c r="C11" s="10"/>
      <c r="D11" s="10"/>
      <c r="E11" s="10">
        <f t="shared" si="3"/>
        <v>186.9096667</v>
      </c>
      <c r="F11" s="10"/>
      <c r="G11" s="1"/>
      <c r="H11" s="1"/>
      <c r="I11" s="12"/>
      <c r="J11" s="8"/>
      <c r="K11" s="8"/>
      <c r="L11" s="8"/>
      <c r="M11" s="8"/>
      <c r="N11" s="1"/>
      <c r="O11" s="1"/>
      <c r="P11" s="8"/>
      <c r="Q11" s="8"/>
      <c r="R11" s="8"/>
      <c r="S11" s="8"/>
      <c r="T11" s="8"/>
      <c r="U11" s="1"/>
      <c r="V11" s="1">
        <v>6144.0</v>
      </c>
      <c r="W11" s="16">
        <v>196.001</v>
      </c>
      <c r="X11" s="17">
        <v>181.054</v>
      </c>
      <c r="Y11" s="17">
        <v>183.674</v>
      </c>
      <c r="Z11" s="27"/>
      <c r="AA11" s="28"/>
      <c r="AB11" s="27"/>
      <c r="AC11" s="1"/>
      <c r="AD11" s="1"/>
      <c r="AE11" s="1"/>
      <c r="AF11" s="1"/>
      <c r="AG11" s="1"/>
      <c r="AH11" s="1"/>
    </row>
    <row r="12" ht="15.75" customHeight="1">
      <c r="A12" s="1"/>
      <c r="B12" s="9">
        <v>8192.0</v>
      </c>
      <c r="C12" s="10"/>
      <c r="D12" s="10"/>
      <c r="E12" s="10">
        <f t="shared" si="3"/>
        <v>485.8583333</v>
      </c>
      <c r="F12" s="10"/>
      <c r="G12" s="1"/>
      <c r="H12" s="1"/>
      <c r="I12" s="8"/>
      <c r="J12" s="8"/>
      <c r="K12" s="8"/>
      <c r="L12" s="8"/>
      <c r="M12" s="8"/>
      <c r="N12" s="1"/>
      <c r="O12" s="1"/>
      <c r="P12" s="8"/>
      <c r="Q12" s="8"/>
      <c r="R12" s="8"/>
      <c r="S12" s="8"/>
      <c r="T12" s="8"/>
      <c r="U12" s="1"/>
      <c r="V12" s="1">
        <v>8192.0</v>
      </c>
      <c r="W12" s="16">
        <v>451.187</v>
      </c>
      <c r="X12" s="17">
        <v>481.819</v>
      </c>
      <c r="Y12" s="17">
        <v>524.569</v>
      </c>
      <c r="Z12" s="27"/>
      <c r="AA12" s="28"/>
      <c r="AB12" s="27"/>
      <c r="AC12" s="1"/>
      <c r="AD12" s="1"/>
      <c r="AE12" s="1"/>
      <c r="AF12" s="1"/>
      <c r="AG12" s="1"/>
      <c r="AH12" s="1"/>
    </row>
    <row r="13" ht="15.75" customHeight="1">
      <c r="A13" s="1"/>
      <c r="B13" s="9">
        <v>10240.0</v>
      </c>
      <c r="C13" s="10"/>
      <c r="D13" s="10"/>
      <c r="E13" s="10">
        <f t="shared" si="3"/>
        <v>882.3006667</v>
      </c>
      <c r="F13" s="10"/>
      <c r="G13" s="1"/>
      <c r="H13" s="1"/>
      <c r="I13" s="8"/>
      <c r="J13" s="8"/>
      <c r="K13" s="8"/>
      <c r="L13" s="8"/>
      <c r="M13" s="8"/>
      <c r="N13" s="1"/>
      <c r="O13" s="1"/>
      <c r="P13" s="8"/>
      <c r="Q13" s="8"/>
      <c r="R13" s="8"/>
      <c r="S13" s="8"/>
      <c r="T13" s="8"/>
      <c r="U13" s="1"/>
      <c r="V13" s="1">
        <v>10240.0</v>
      </c>
      <c r="W13" s="29">
        <v>925.548</v>
      </c>
      <c r="X13" s="30">
        <v>877.165</v>
      </c>
      <c r="Y13" s="30">
        <v>844.189</v>
      </c>
      <c r="Z13" s="31"/>
      <c r="AA13" s="32"/>
      <c r="AB13" s="27"/>
      <c r="AC13" s="1"/>
      <c r="AD13" s="1"/>
      <c r="AE13" s="1"/>
      <c r="AF13" s="1"/>
      <c r="AG13" s="1"/>
      <c r="AH13" s="1"/>
    </row>
    <row r="14" ht="15.75" customHeight="1">
      <c r="C14" s="33"/>
      <c r="D14" s="33"/>
      <c r="E14" s="33"/>
      <c r="F14" s="33"/>
      <c r="I14" s="33"/>
      <c r="J14" s="33"/>
      <c r="K14" s="33"/>
      <c r="L14" s="33"/>
      <c r="M14" s="33"/>
      <c r="P14" s="33"/>
      <c r="Q14" s="33"/>
      <c r="R14" s="33"/>
      <c r="S14" s="33"/>
      <c r="T14" s="33"/>
      <c r="Y14" s="1"/>
      <c r="Z14" s="1"/>
      <c r="AA14" s="1"/>
    </row>
    <row r="15" ht="15.75" customHeight="1">
      <c r="C15" s="33"/>
      <c r="D15" s="33"/>
      <c r="E15" s="33"/>
      <c r="F15" s="33"/>
      <c r="I15" s="33"/>
      <c r="J15" s="33"/>
      <c r="K15" s="33"/>
      <c r="L15" s="33"/>
      <c r="M15" s="33"/>
      <c r="P15" s="33"/>
      <c r="Q15" s="33"/>
      <c r="R15" s="33"/>
      <c r="S15" s="33"/>
      <c r="T15" s="33"/>
      <c r="Y15" s="1"/>
      <c r="Z15" s="1"/>
      <c r="AA15" s="1"/>
    </row>
    <row r="16" ht="15.75" customHeight="1">
      <c r="C16" s="33"/>
      <c r="D16" s="33"/>
      <c r="E16" s="33"/>
      <c r="F16" s="33"/>
      <c r="I16" s="33"/>
      <c r="J16" s="33"/>
      <c r="K16" s="33"/>
      <c r="L16" s="33"/>
      <c r="M16" s="33"/>
      <c r="P16" s="33"/>
      <c r="Q16" s="33"/>
      <c r="R16" s="33"/>
      <c r="S16" s="33"/>
      <c r="T16" s="33"/>
      <c r="Y16" s="1"/>
      <c r="Z16" s="1"/>
      <c r="AA16" s="1"/>
    </row>
    <row r="17" ht="15.75" customHeight="1">
      <c r="A17" s="1" t="s">
        <v>10</v>
      </c>
      <c r="B17" s="3" t="s">
        <v>1</v>
      </c>
      <c r="C17" s="4" t="s">
        <v>11</v>
      </c>
      <c r="D17" s="4" t="s">
        <v>12</v>
      </c>
      <c r="E17" s="4" t="s">
        <v>13</v>
      </c>
      <c r="F17" s="4" t="s">
        <v>14</v>
      </c>
      <c r="G17" s="1"/>
      <c r="H17" s="1"/>
      <c r="I17" s="5" t="s">
        <v>11</v>
      </c>
      <c r="J17" s="6"/>
      <c r="K17" s="6"/>
      <c r="L17" s="6"/>
      <c r="M17" s="7"/>
      <c r="N17" s="8"/>
      <c r="O17" s="1"/>
      <c r="P17" s="5" t="s">
        <v>12</v>
      </c>
      <c r="Q17" s="6"/>
      <c r="R17" s="6"/>
      <c r="S17" s="6"/>
      <c r="T17" s="7"/>
      <c r="U17" s="8"/>
      <c r="V17" s="34"/>
      <c r="W17" s="35" t="s">
        <v>15</v>
      </c>
      <c r="X17" s="6"/>
      <c r="Y17" s="6"/>
      <c r="Z17" s="6"/>
      <c r="AA17" s="7"/>
      <c r="AB17" s="36"/>
      <c r="AC17" s="1"/>
      <c r="AD17" s="5" t="s">
        <v>14</v>
      </c>
      <c r="AE17" s="6"/>
      <c r="AF17" s="6"/>
      <c r="AG17" s="6"/>
      <c r="AH17" s="7"/>
    </row>
    <row r="18" ht="15.75" customHeight="1">
      <c r="A18" s="1"/>
      <c r="B18" s="9">
        <v>600.0</v>
      </c>
      <c r="C18" s="10">
        <f>AVERAGE(K18:M18)</f>
        <v>54176754.67</v>
      </c>
      <c r="D18" s="10">
        <f t="shared" ref="D18:D24" si="5">AVERAGE(P18:T18)</f>
        <v>27936056.8</v>
      </c>
      <c r="E18" s="10">
        <f t="shared" ref="E18:E28" si="6">MEDIAN(W18:AA18)</f>
        <v>27300004</v>
      </c>
      <c r="F18" s="10">
        <f t="shared" ref="F18:F28" si="7">MEDIAN(AD18:AH18)</f>
        <v>27316870</v>
      </c>
      <c r="G18" s="1"/>
      <c r="H18" s="1">
        <v>600.0</v>
      </c>
      <c r="I18" s="16">
        <v>5.6111816E7</v>
      </c>
      <c r="J18" s="17">
        <v>3.3395227E7</v>
      </c>
      <c r="K18" s="17">
        <v>4.1115523E7</v>
      </c>
      <c r="L18" s="17">
        <v>7.8886478E7</v>
      </c>
      <c r="M18" s="37">
        <v>4.2528263E7</v>
      </c>
      <c r="N18" s="23"/>
      <c r="O18" s="1">
        <v>600.0</v>
      </c>
      <c r="P18" s="16">
        <v>2.820141E7</v>
      </c>
      <c r="Q18" s="17">
        <v>2.7527928E7</v>
      </c>
      <c r="R18" s="17">
        <v>2.7996586E7</v>
      </c>
      <c r="S18" s="17">
        <v>2.8261392E7</v>
      </c>
      <c r="T18" s="37">
        <v>2.7692968E7</v>
      </c>
      <c r="U18" s="23"/>
      <c r="V18" s="38">
        <v>600.0</v>
      </c>
      <c r="W18" s="39">
        <v>2.7300004E7</v>
      </c>
      <c r="X18" s="40">
        <v>2.7397596E7</v>
      </c>
      <c r="Y18" s="40">
        <v>2.7219752E7</v>
      </c>
      <c r="Z18" s="38"/>
      <c r="AA18" s="41"/>
      <c r="AB18" s="38"/>
      <c r="AC18" s="38">
        <v>600.0</v>
      </c>
      <c r="AD18" s="11">
        <v>2.731687E7</v>
      </c>
      <c r="AE18" s="12">
        <v>2.735097E7</v>
      </c>
      <c r="AF18" s="12">
        <v>2.7097023E7</v>
      </c>
      <c r="AG18" s="1"/>
      <c r="AH18" s="15"/>
    </row>
    <row r="19" ht="15.75" customHeight="1">
      <c r="A19" s="1"/>
      <c r="B19" s="9">
        <v>1000.0</v>
      </c>
      <c r="C19" s="10">
        <f t="shared" ref="C19:C24" si="8">AVERAGE(I19:M19)</f>
        <v>1158299677</v>
      </c>
      <c r="D19" s="10">
        <f t="shared" si="5"/>
        <v>136824611.8</v>
      </c>
      <c r="E19" s="10">
        <f t="shared" si="6"/>
        <v>126180079</v>
      </c>
      <c r="F19" s="10">
        <f t="shared" si="7"/>
        <v>119121027</v>
      </c>
      <c r="G19" s="1"/>
      <c r="H19" s="1">
        <v>1000.0</v>
      </c>
      <c r="I19" s="16">
        <v>1.152639994E9</v>
      </c>
      <c r="J19" s="17">
        <v>1.157092441E9</v>
      </c>
      <c r="K19" s="17">
        <v>1.16117264E9</v>
      </c>
      <c r="L19" s="17">
        <v>1.157470396E9</v>
      </c>
      <c r="M19" s="37">
        <v>1.163122913E9</v>
      </c>
      <c r="N19" s="23"/>
      <c r="O19" s="1">
        <v>1000.0</v>
      </c>
      <c r="P19" s="16">
        <v>1.37202479E8</v>
      </c>
      <c r="Q19" s="17">
        <v>1.36128875E8</v>
      </c>
      <c r="R19" s="17">
        <v>1.3601117E8</v>
      </c>
      <c r="S19" s="17">
        <v>1.37988309E8</v>
      </c>
      <c r="T19" s="37">
        <v>1.36792226E8</v>
      </c>
      <c r="U19" s="23"/>
      <c r="V19" s="38">
        <v>1000.0</v>
      </c>
      <c r="W19" s="39">
        <v>1.26512626E8</v>
      </c>
      <c r="X19" s="40">
        <v>1.26180079E8</v>
      </c>
      <c r="Y19" s="40">
        <v>1.26071793E8</v>
      </c>
      <c r="Z19" s="38"/>
      <c r="AA19" s="41"/>
      <c r="AB19" s="38"/>
      <c r="AC19" s="38">
        <v>1000.0</v>
      </c>
      <c r="AD19" s="11">
        <v>1.19974834E8</v>
      </c>
      <c r="AE19" s="12">
        <v>1.19121027E8</v>
      </c>
      <c r="AF19" s="12">
        <v>1.18107037E8</v>
      </c>
      <c r="AG19" s="1"/>
      <c r="AH19" s="15"/>
    </row>
    <row r="20" ht="15.75" customHeight="1">
      <c r="A20" s="1"/>
      <c r="B20" s="9">
        <v>1400.0</v>
      </c>
      <c r="C20" s="10">
        <f t="shared" si="8"/>
        <v>3182885685</v>
      </c>
      <c r="D20" s="10">
        <f t="shared" si="5"/>
        <v>396154460.6</v>
      </c>
      <c r="E20" s="10">
        <f t="shared" si="6"/>
        <v>349564278</v>
      </c>
      <c r="F20" s="10">
        <f t="shared" si="7"/>
        <v>331810215</v>
      </c>
      <c r="G20" s="1"/>
      <c r="H20" s="1">
        <v>1400.0</v>
      </c>
      <c r="I20" s="16">
        <v>3.191662632E9</v>
      </c>
      <c r="J20" s="17">
        <v>3.182752096E9</v>
      </c>
      <c r="K20" s="17">
        <v>3.179807315E9</v>
      </c>
      <c r="L20" s="17">
        <v>3.179903144E9</v>
      </c>
      <c r="M20" s="37">
        <v>3.180303238E9</v>
      </c>
      <c r="N20" s="23"/>
      <c r="O20" s="1">
        <v>1400.0</v>
      </c>
      <c r="P20" s="16">
        <v>4.02565279E8</v>
      </c>
      <c r="Q20" s="17">
        <v>3.96299383E8</v>
      </c>
      <c r="R20" s="17">
        <v>3.92892269E8</v>
      </c>
      <c r="S20" s="17">
        <v>3.93077078E8</v>
      </c>
      <c r="T20" s="37">
        <v>3.95938294E8</v>
      </c>
      <c r="U20" s="23"/>
      <c r="V20" s="38">
        <v>1400.0</v>
      </c>
      <c r="W20" s="39">
        <v>3.5258006E8</v>
      </c>
      <c r="X20" s="40">
        <v>3.49564278E8</v>
      </c>
      <c r="Y20" s="40">
        <v>3.46839963E8</v>
      </c>
      <c r="Z20" s="38"/>
      <c r="AA20" s="41"/>
      <c r="AB20" s="38"/>
      <c r="AC20" s="38">
        <v>1400.0</v>
      </c>
      <c r="AD20" s="11">
        <v>3.32318798E8</v>
      </c>
      <c r="AE20" s="12">
        <v>3.31810215E8</v>
      </c>
      <c r="AF20" s="12">
        <v>3.29936325E8</v>
      </c>
      <c r="AG20" s="1"/>
      <c r="AH20" s="15"/>
    </row>
    <row r="21" ht="15.75" customHeight="1">
      <c r="A21" s="1"/>
      <c r="B21" s="9">
        <v>1800.0</v>
      </c>
      <c r="C21" s="10">
        <f t="shared" si="8"/>
        <v>7743527715</v>
      </c>
      <c r="D21" s="10">
        <f t="shared" si="5"/>
        <v>895314674.2</v>
      </c>
      <c r="E21" s="10">
        <f t="shared" si="6"/>
        <v>761501759</v>
      </c>
      <c r="F21" s="10">
        <f t="shared" si="7"/>
        <v>707991651</v>
      </c>
      <c r="G21" s="1"/>
      <c r="H21" s="1">
        <v>1800.0</v>
      </c>
      <c r="I21" s="16">
        <v>7.79033814E9</v>
      </c>
      <c r="J21" s="17">
        <v>7.769026781E9</v>
      </c>
      <c r="K21" s="17">
        <v>7.723375342E9</v>
      </c>
      <c r="L21" s="17">
        <v>7.728919934E9</v>
      </c>
      <c r="M21" s="37">
        <v>7.705978379E9</v>
      </c>
      <c r="N21" s="23"/>
      <c r="O21" s="1">
        <v>1800.0</v>
      </c>
      <c r="P21" s="16">
        <v>9.25423272E8</v>
      </c>
      <c r="Q21" s="17">
        <v>9.12999135E8</v>
      </c>
      <c r="R21" s="17">
        <v>8.8047678E8</v>
      </c>
      <c r="S21" s="17">
        <v>8.93369489E8</v>
      </c>
      <c r="T21" s="37">
        <v>8.64304695E8</v>
      </c>
      <c r="U21" s="23"/>
      <c r="V21" s="38">
        <v>1800.0</v>
      </c>
      <c r="W21" s="39">
        <v>7.68132339E8</v>
      </c>
      <c r="X21" s="40">
        <v>7.61501759E8</v>
      </c>
      <c r="Y21" s="40">
        <v>7.51466747E8</v>
      </c>
      <c r="Z21" s="38"/>
      <c r="AA21" s="41"/>
      <c r="AB21" s="38"/>
      <c r="AC21" s="38">
        <v>1800.0</v>
      </c>
      <c r="AD21" s="11">
        <v>7.10672901E8</v>
      </c>
      <c r="AE21" s="12">
        <v>7.07991651E8</v>
      </c>
      <c r="AF21" s="12">
        <v>7.06373787E8</v>
      </c>
      <c r="AG21" s="1"/>
      <c r="AH21" s="15"/>
    </row>
    <row r="22" ht="15.75" customHeight="1">
      <c r="A22" s="1"/>
      <c r="B22" s="9">
        <v>2200.0</v>
      </c>
      <c r="C22" s="10">
        <f t="shared" si="8"/>
        <v>16246973315</v>
      </c>
      <c r="D22" s="10">
        <f t="shared" si="5"/>
        <v>2158611431</v>
      </c>
      <c r="E22" s="10">
        <f t="shared" si="6"/>
        <v>1393440267</v>
      </c>
      <c r="F22" s="10">
        <f t="shared" si="7"/>
        <v>1289437727</v>
      </c>
      <c r="G22" s="1"/>
      <c r="H22" s="1">
        <v>2200.0</v>
      </c>
      <c r="I22" s="16">
        <v>1.6326281609E10</v>
      </c>
      <c r="J22" s="17">
        <v>1.633814852E10</v>
      </c>
      <c r="K22" s="17">
        <v>1.6027561521E10</v>
      </c>
      <c r="L22" s="17">
        <v>1.6261732762E10</v>
      </c>
      <c r="M22" s="37">
        <v>1.6281142165E10</v>
      </c>
      <c r="N22" s="23"/>
      <c r="O22" s="1">
        <v>2200.0</v>
      </c>
      <c r="P22" s="16">
        <v>1.993303303E9</v>
      </c>
      <c r="Q22" s="17">
        <v>2.23588235E9</v>
      </c>
      <c r="R22" s="17">
        <v>2.257897533E9</v>
      </c>
      <c r="S22" s="17">
        <v>2.14015245E9</v>
      </c>
      <c r="T22" s="37">
        <v>2.165821517E9</v>
      </c>
      <c r="U22" s="23"/>
      <c r="V22" s="38">
        <v>2200.0</v>
      </c>
      <c r="W22" s="39">
        <v>1.465458316E9</v>
      </c>
      <c r="X22" s="40">
        <v>1.393440267E9</v>
      </c>
      <c r="Y22" s="40">
        <v>1.377641033E9</v>
      </c>
      <c r="Z22" s="38"/>
      <c r="AA22" s="41"/>
      <c r="AB22" s="38"/>
      <c r="AC22" s="38">
        <v>2200.0</v>
      </c>
      <c r="AD22" s="11">
        <v>1.298025994E9</v>
      </c>
      <c r="AE22" s="12">
        <v>1.289437727E9</v>
      </c>
      <c r="AF22" s="12">
        <v>1.288227114E9</v>
      </c>
      <c r="AG22" s="1"/>
      <c r="AH22" s="15"/>
    </row>
    <row r="23" ht="15.75" customHeight="1">
      <c r="A23" s="1"/>
      <c r="B23" s="9">
        <v>2600.0</v>
      </c>
      <c r="C23" s="10">
        <f t="shared" si="8"/>
        <v>29385801361</v>
      </c>
      <c r="D23" s="10">
        <f t="shared" si="5"/>
        <v>8559374284</v>
      </c>
      <c r="E23" s="10">
        <f t="shared" si="6"/>
        <v>2448975435</v>
      </c>
      <c r="F23" s="10">
        <f t="shared" si="7"/>
        <v>2147055791</v>
      </c>
      <c r="G23" s="1"/>
      <c r="H23" s="1">
        <v>2600.0</v>
      </c>
      <c r="I23" s="16">
        <v>2.9270420794E10</v>
      </c>
      <c r="J23" s="17">
        <v>2.9549352427E10</v>
      </c>
      <c r="K23" s="17">
        <v>2.9413303443E10</v>
      </c>
      <c r="L23" s="17">
        <v>2.9408705152E10</v>
      </c>
      <c r="M23" s="37">
        <v>2.9287224991E10</v>
      </c>
      <c r="N23" s="23"/>
      <c r="O23" s="1">
        <v>2600.0</v>
      </c>
      <c r="P23" s="16">
        <v>6.071431599E9</v>
      </c>
      <c r="Q23" s="17">
        <v>9.686214637E9</v>
      </c>
      <c r="R23" s="17">
        <v>1.358752479E10</v>
      </c>
      <c r="S23" s="17">
        <v>6.566226603E9</v>
      </c>
      <c r="T23" s="37">
        <v>6.885473791E9</v>
      </c>
      <c r="U23" s="23"/>
      <c r="V23" s="38">
        <v>2600.0</v>
      </c>
      <c r="W23" s="39">
        <v>2.448975435E9</v>
      </c>
      <c r="X23" s="40">
        <v>2.466515396E9</v>
      </c>
      <c r="Y23" s="40">
        <v>2.431865724E9</v>
      </c>
      <c r="Z23" s="38"/>
      <c r="AA23" s="41"/>
      <c r="AB23" s="38"/>
      <c r="AC23" s="38">
        <v>2600.0</v>
      </c>
      <c r="AD23" s="11">
        <v>2.151726406E9</v>
      </c>
      <c r="AE23" s="12">
        <v>2.147055791E9</v>
      </c>
      <c r="AF23" s="12">
        <v>2.142230302E9</v>
      </c>
      <c r="AG23" s="1"/>
      <c r="AH23" s="15"/>
    </row>
    <row r="24" ht="15.75" customHeight="1">
      <c r="A24" s="1"/>
      <c r="B24" s="9">
        <v>3000.0</v>
      </c>
      <c r="C24" s="10">
        <f t="shared" si="8"/>
        <v>48517989776</v>
      </c>
      <c r="D24" s="10">
        <f t="shared" si="5"/>
        <v>29980183697</v>
      </c>
      <c r="E24" s="10">
        <f t="shared" si="6"/>
        <v>4003710323</v>
      </c>
      <c r="F24" s="10">
        <f t="shared" si="7"/>
        <v>3314738412</v>
      </c>
      <c r="G24" s="1"/>
      <c r="H24" s="1">
        <v>3000.0</v>
      </c>
      <c r="I24" s="29">
        <v>4.8597085069E10</v>
      </c>
      <c r="J24" s="30">
        <v>4.825705365E10</v>
      </c>
      <c r="K24" s="30">
        <v>4.8514824045E10</v>
      </c>
      <c r="L24" s="30">
        <v>4.8493826969E10</v>
      </c>
      <c r="M24" s="42">
        <v>4.8727159147E10</v>
      </c>
      <c r="N24" s="23"/>
      <c r="O24" s="1">
        <v>3000.0</v>
      </c>
      <c r="P24" s="29">
        <v>3.5290841126E10</v>
      </c>
      <c r="Q24" s="30">
        <v>2.973801272E10</v>
      </c>
      <c r="R24" s="30">
        <v>2.4292661019E10</v>
      </c>
      <c r="S24" s="30">
        <v>2.8757776942E10</v>
      </c>
      <c r="T24" s="42">
        <v>3.1821626678E10</v>
      </c>
      <c r="U24" s="23"/>
      <c r="V24" s="38">
        <v>3000.0</v>
      </c>
      <c r="W24" s="39">
        <v>3.845533881E9</v>
      </c>
      <c r="X24" s="40">
        <v>4.003710323E9</v>
      </c>
      <c r="Y24" s="40">
        <v>4.046061685E9</v>
      </c>
      <c r="Z24" s="38"/>
      <c r="AA24" s="41"/>
      <c r="AB24" s="38"/>
      <c r="AC24" s="38">
        <v>3000.0</v>
      </c>
      <c r="AD24" s="11">
        <v>3.32476686E9</v>
      </c>
      <c r="AE24" s="12">
        <v>3.314738412E9</v>
      </c>
      <c r="AF24" s="12">
        <v>3.311537576E9</v>
      </c>
      <c r="AG24" s="1"/>
      <c r="AH24" s="15"/>
    </row>
    <row r="25" ht="15.75" customHeight="1">
      <c r="A25" s="1"/>
      <c r="B25" s="9">
        <v>4096.0</v>
      </c>
      <c r="C25" s="10"/>
      <c r="D25" s="10"/>
      <c r="E25" s="10">
        <f t="shared" si="6"/>
        <v>12438478241</v>
      </c>
      <c r="F25" s="10">
        <f t="shared" si="7"/>
        <v>8395564742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38">
        <v>4096.0</v>
      </c>
      <c r="W25" s="39">
        <v>1.2625238949E10</v>
      </c>
      <c r="X25" s="40">
        <v>1.2438478241E10</v>
      </c>
      <c r="Y25" s="40">
        <v>1.2348758707E10</v>
      </c>
      <c r="Z25" s="38"/>
      <c r="AA25" s="41"/>
      <c r="AB25" s="38"/>
      <c r="AC25" s="38">
        <v>4096.0</v>
      </c>
      <c r="AD25" s="11">
        <v>8.435709732E9</v>
      </c>
      <c r="AE25" s="12">
        <v>8.395564742E9</v>
      </c>
      <c r="AF25" s="12">
        <v>8.35300469E9</v>
      </c>
      <c r="AG25" s="1"/>
      <c r="AH25" s="15"/>
    </row>
    <row r="26" ht="15.75" customHeight="1">
      <c r="A26" s="1"/>
      <c r="B26" s="9">
        <v>6144.0</v>
      </c>
      <c r="C26" s="10"/>
      <c r="D26" s="43"/>
      <c r="E26" s="10">
        <f t="shared" si="6"/>
        <v>57961921192</v>
      </c>
      <c r="F26" s="10">
        <f t="shared" si="7"/>
        <v>28072914989</v>
      </c>
      <c r="G26" s="1"/>
      <c r="H26" s="1"/>
      <c r="I26" s="1"/>
      <c r="J26" s="23"/>
      <c r="K26" s="1"/>
      <c r="L26" s="23"/>
      <c r="M26" s="1"/>
      <c r="N26" s="1"/>
      <c r="O26" s="23"/>
      <c r="P26" s="1"/>
      <c r="Q26" s="23"/>
      <c r="R26" s="1"/>
      <c r="S26" s="1"/>
      <c r="T26" s="1"/>
      <c r="U26" s="1"/>
      <c r="V26" s="38">
        <v>6144.0</v>
      </c>
      <c r="W26" s="39">
        <v>5.7960894854E10</v>
      </c>
      <c r="X26" s="40">
        <v>5.7961921192E10</v>
      </c>
      <c r="Y26" s="40">
        <v>5.7965643122E10</v>
      </c>
      <c r="Z26" s="38"/>
      <c r="AA26" s="41"/>
      <c r="AB26" s="38"/>
      <c r="AC26" s="38">
        <v>6144.0</v>
      </c>
      <c r="AD26" s="11">
        <v>2.8256013997E10</v>
      </c>
      <c r="AE26" s="12">
        <v>2.803413791E10</v>
      </c>
      <c r="AF26" s="12">
        <v>2.8072914989E10</v>
      </c>
      <c r="AG26" s="1"/>
      <c r="AH26" s="15"/>
    </row>
    <row r="27" ht="15.75" customHeight="1">
      <c r="A27" s="1"/>
      <c r="B27" s="9">
        <v>8192.0</v>
      </c>
      <c r="C27" s="43"/>
      <c r="D27" s="43"/>
      <c r="E27" s="10">
        <f t="shared" si="6"/>
        <v>137847620016</v>
      </c>
      <c r="F27" s="10">
        <f t="shared" si="7"/>
        <v>67116595492</v>
      </c>
      <c r="G27" s="1"/>
      <c r="H27" s="23"/>
      <c r="I27" s="1"/>
      <c r="J27" s="23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38">
        <v>8192.0</v>
      </c>
      <c r="W27" s="44">
        <v>1.37847620016E11</v>
      </c>
      <c r="X27" s="36">
        <v>1.37847620016E11</v>
      </c>
      <c r="Y27" s="36">
        <v>1.37847620016E11</v>
      </c>
      <c r="Z27" s="38"/>
      <c r="AA27" s="41"/>
      <c r="AB27" s="38"/>
      <c r="AC27" s="38">
        <v>8192.0</v>
      </c>
      <c r="AD27" s="11">
        <v>6.7116595492E10</v>
      </c>
      <c r="AE27" s="12">
        <v>6.6862321847E10</v>
      </c>
      <c r="AF27" s="12">
        <v>6.7337587072E10</v>
      </c>
      <c r="AG27" s="1"/>
      <c r="AH27" s="15"/>
    </row>
    <row r="28" ht="15.75" customHeight="1">
      <c r="A28" s="1"/>
      <c r="B28" s="9">
        <v>10240.0</v>
      </c>
      <c r="C28" s="43"/>
      <c r="D28" s="43"/>
      <c r="E28" s="10">
        <f t="shared" si="6"/>
        <v>269044456154</v>
      </c>
      <c r="F28" s="10">
        <f t="shared" si="7"/>
        <v>131830687343</v>
      </c>
      <c r="G28" s="1"/>
      <c r="H28" s="23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38">
        <v>10240.0</v>
      </c>
      <c r="W28" s="45">
        <v>2.69109278771E11</v>
      </c>
      <c r="X28" s="46">
        <v>2.68971497689E11</v>
      </c>
      <c r="Y28" s="46">
        <v>2.69044456154E11</v>
      </c>
      <c r="Z28" s="47"/>
      <c r="AA28" s="48"/>
      <c r="AB28" s="38"/>
      <c r="AC28" s="38">
        <v>10240.0</v>
      </c>
      <c r="AD28" s="18">
        <v>1.32573523048E11</v>
      </c>
      <c r="AE28" s="19">
        <v>1.31064093843E11</v>
      </c>
      <c r="AF28" s="19">
        <v>1.31830687343E11</v>
      </c>
      <c r="AG28" s="25"/>
      <c r="AH28" s="26"/>
    </row>
    <row r="29" ht="15.75" customHeight="1">
      <c r="B29" s="23"/>
      <c r="C29" s="23"/>
      <c r="D29" s="23"/>
      <c r="H29" s="23"/>
      <c r="I29" s="49"/>
      <c r="J29" s="49"/>
      <c r="K29" s="49"/>
      <c r="L29" s="1"/>
      <c r="M29" s="49"/>
      <c r="N29" s="49"/>
      <c r="O29" s="49"/>
      <c r="P29" s="49"/>
      <c r="Q29" s="49"/>
      <c r="R29" s="49"/>
      <c r="Y29" s="1"/>
      <c r="Z29" s="1"/>
      <c r="AA29" s="1"/>
    </row>
    <row r="30" ht="15.75" customHeight="1">
      <c r="B30" s="23"/>
      <c r="C30" s="23"/>
      <c r="D30" s="23"/>
      <c r="F30" s="23"/>
      <c r="G30" s="23"/>
      <c r="H30" s="23"/>
      <c r="I30" s="49"/>
      <c r="J30" s="49"/>
      <c r="K30" s="49"/>
      <c r="L30" s="1"/>
      <c r="M30" s="49"/>
      <c r="N30" s="49"/>
      <c r="O30" s="49"/>
      <c r="P30" s="49"/>
      <c r="Q30" s="49"/>
      <c r="R30" s="49"/>
      <c r="Y30" s="1"/>
      <c r="Z30" s="1"/>
      <c r="AA30" s="1"/>
    </row>
    <row r="31" ht="15.75" customHeight="1">
      <c r="B31" s="23"/>
      <c r="C31" s="23"/>
      <c r="D31" s="23"/>
      <c r="F31" s="23"/>
      <c r="G31" s="23"/>
      <c r="H31" s="1"/>
      <c r="I31" s="49"/>
      <c r="J31" s="49"/>
      <c r="K31" s="23"/>
      <c r="L31" s="1"/>
      <c r="M31" s="23"/>
      <c r="N31" s="23"/>
      <c r="O31" s="23"/>
      <c r="P31" s="49"/>
      <c r="Q31" s="23"/>
      <c r="R31" s="49"/>
      <c r="Y31" s="1"/>
      <c r="Z31" s="1"/>
      <c r="AA31" s="1"/>
    </row>
    <row r="32" ht="15.75" customHeight="1">
      <c r="A32" s="2" t="s">
        <v>16</v>
      </c>
      <c r="B32" s="50" t="s">
        <v>1</v>
      </c>
      <c r="C32" s="51" t="s">
        <v>17</v>
      </c>
      <c r="D32" s="51" t="s">
        <v>18</v>
      </c>
      <c r="F32" s="23"/>
      <c r="G32" s="23"/>
      <c r="H32" s="1"/>
      <c r="I32" s="49"/>
      <c r="J32" s="49"/>
      <c r="K32" s="23"/>
      <c r="L32" s="1"/>
      <c r="M32" s="23"/>
      <c r="N32" s="8"/>
      <c r="O32" s="1"/>
      <c r="P32" s="49"/>
      <c r="Q32" s="23"/>
      <c r="R32" s="49"/>
      <c r="U32" s="8"/>
      <c r="V32" s="1"/>
      <c r="W32" s="5" t="s">
        <v>19</v>
      </c>
      <c r="X32" s="6"/>
      <c r="Y32" s="6"/>
      <c r="Z32" s="6"/>
      <c r="AA32" s="7"/>
      <c r="AB32" s="8"/>
      <c r="AC32" s="1"/>
      <c r="AD32" s="5" t="s">
        <v>20</v>
      </c>
      <c r="AE32" s="6"/>
      <c r="AF32" s="6"/>
      <c r="AG32" s="6"/>
      <c r="AH32" s="7"/>
    </row>
    <row r="33" ht="15.75" customHeight="1">
      <c r="B33" s="9">
        <v>600.0</v>
      </c>
      <c r="C33" s="10">
        <f t="shared" ref="C33:C39" si="9">AVERAGE(W33:Y33)</f>
        <v>0.1076666667</v>
      </c>
      <c r="D33" s="43">
        <f t="shared" ref="D33:D39" si="10">AVERAGE(AD33:AF33)</f>
        <v>0.217</v>
      </c>
      <c r="F33" s="23"/>
      <c r="G33" s="23"/>
      <c r="H33" s="1"/>
      <c r="I33" s="49"/>
      <c r="J33" s="49"/>
      <c r="K33" s="23"/>
      <c r="L33" s="1"/>
      <c r="M33" s="23"/>
      <c r="N33" s="1"/>
      <c r="O33" s="1"/>
      <c r="P33" s="49"/>
      <c r="Q33" s="23"/>
      <c r="R33" s="49"/>
      <c r="U33" s="1"/>
      <c r="V33" s="1">
        <v>600.0</v>
      </c>
      <c r="W33" s="11">
        <v>0.138</v>
      </c>
      <c r="X33" s="12">
        <v>0.079</v>
      </c>
      <c r="Y33" s="12">
        <v>0.106</v>
      </c>
      <c r="Z33" s="1"/>
      <c r="AA33" s="15"/>
      <c r="AB33" s="1"/>
      <c r="AC33" s="1">
        <v>600.0</v>
      </c>
      <c r="AD33" s="11">
        <v>0.205</v>
      </c>
      <c r="AE33" s="12">
        <v>0.259</v>
      </c>
      <c r="AF33" s="2">
        <v>0.187</v>
      </c>
      <c r="AG33" s="1"/>
      <c r="AH33" s="15"/>
    </row>
    <row r="34" ht="15.75" customHeight="1">
      <c r="B34" s="9">
        <v>1000.0</v>
      </c>
      <c r="C34" s="10">
        <f t="shared" si="9"/>
        <v>0.4046666667</v>
      </c>
      <c r="D34" s="43">
        <f t="shared" si="10"/>
        <v>0.7043333333</v>
      </c>
      <c r="F34" s="23"/>
      <c r="G34" s="23"/>
      <c r="H34" s="1"/>
      <c r="I34" s="49"/>
      <c r="J34" s="49"/>
      <c r="K34" s="23"/>
      <c r="L34" s="1"/>
      <c r="M34" s="23"/>
      <c r="N34" s="1"/>
      <c r="O34" s="1"/>
      <c r="P34" s="49"/>
      <c r="Q34" s="23"/>
      <c r="R34" s="49"/>
      <c r="U34" s="1"/>
      <c r="V34" s="1">
        <v>1000.0</v>
      </c>
      <c r="W34" s="11">
        <v>0.501</v>
      </c>
      <c r="X34" s="12">
        <v>0.392</v>
      </c>
      <c r="Y34" s="12">
        <v>0.321</v>
      </c>
      <c r="Z34" s="1"/>
      <c r="AA34" s="15"/>
      <c r="AB34" s="1"/>
      <c r="AC34" s="1">
        <v>1000.0</v>
      </c>
      <c r="AD34" s="11">
        <v>0.702</v>
      </c>
      <c r="AE34" s="12">
        <v>0.704</v>
      </c>
      <c r="AF34" s="2">
        <v>0.707</v>
      </c>
      <c r="AG34" s="1"/>
      <c r="AH34" s="15"/>
    </row>
    <row r="35" ht="15.75" customHeight="1">
      <c r="B35" s="9">
        <v>1400.0</v>
      </c>
      <c r="C35" s="10">
        <f t="shared" si="9"/>
        <v>1.007</v>
      </c>
      <c r="D35" s="43">
        <f t="shared" si="10"/>
        <v>2.029333333</v>
      </c>
      <c r="F35" s="23"/>
      <c r="G35" s="23"/>
      <c r="H35" s="1"/>
      <c r="I35" s="49"/>
      <c r="J35" s="49"/>
      <c r="K35" s="23"/>
      <c r="L35" s="1"/>
      <c r="M35" s="23"/>
      <c r="N35" s="1"/>
      <c r="O35" s="1"/>
      <c r="P35" s="49"/>
      <c r="Q35" s="23"/>
      <c r="R35" s="49"/>
      <c r="U35" s="1"/>
      <c r="V35" s="1">
        <v>1400.0</v>
      </c>
      <c r="W35" s="11">
        <v>1.04</v>
      </c>
      <c r="X35" s="12">
        <v>0.991</v>
      </c>
      <c r="Y35" s="12">
        <v>0.99</v>
      </c>
      <c r="Z35" s="1"/>
      <c r="AA35" s="15"/>
      <c r="AB35" s="1"/>
      <c r="AC35" s="1">
        <v>1400.0</v>
      </c>
      <c r="AD35" s="11">
        <v>1.666</v>
      </c>
      <c r="AE35" s="12">
        <v>2.159</v>
      </c>
      <c r="AF35" s="2">
        <v>2.263</v>
      </c>
      <c r="AG35" s="1"/>
      <c r="AH35" s="15"/>
    </row>
    <row r="36" ht="15.75" customHeight="1">
      <c r="B36" s="9">
        <v>1800.0</v>
      </c>
      <c r="C36" s="10">
        <f t="shared" si="9"/>
        <v>2.483333333</v>
      </c>
      <c r="D36" s="43">
        <f t="shared" si="10"/>
        <v>4.068333333</v>
      </c>
      <c r="F36" s="23"/>
      <c r="G36" s="23"/>
      <c r="H36" s="1"/>
      <c r="I36" s="49"/>
      <c r="J36" s="49"/>
      <c r="K36" s="23"/>
      <c r="L36" s="1"/>
      <c r="M36" s="23"/>
      <c r="N36" s="1"/>
      <c r="O36" s="1"/>
      <c r="P36" s="49"/>
      <c r="Q36" s="23"/>
      <c r="R36" s="49"/>
      <c r="U36" s="1"/>
      <c r="V36" s="1">
        <v>1800.0</v>
      </c>
      <c r="W36" s="11">
        <v>2.368</v>
      </c>
      <c r="X36" s="12">
        <v>2.305</v>
      </c>
      <c r="Y36" s="12">
        <v>2.777</v>
      </c>
      <c r="Z36" s="1"/>
      <c r="AA36" s="15"/>
      <c r="AB36" s="1"/>
      <c r="AC36" s="1">
        <v>1800.0</v>
      </c>
      <c r="AD36" s="11">
        <v>3.704</v>
      </c>
      <c r="AE36" s="12">
        <v>3.585</v>
      </c>
      <c r="AF36" s="2">
        <v>4.916</v>
      </c>
      <c r="AG36" s="1"/>
      <c r="AH36" s="15"/>
    </row>
    <row r="37" ht="15.75" customHeight="1">
      <c r="B37" s="9">
        <v>2200.0</v>
      </c>
      <c r="C37" s="10">
        <f t="shared" si="9"/>
        <v>5.442</v>
      </c>
      <c r="D37" s="43">
        <f t="shared" si="10"/>
        <v>8.143333333</v>
      </c>
      <c r="F37" s="23"/>
      <c r="G37" s="23"/>
      <c r="H37" s="1"/>
      <c r="I37" s="49"/>
      <c r="J37" s="49"/>
      <c r="K37" s="23"/>
      <c r="L37" s="1"/>
      <c r="M37" s="23"/>
      <c r="N37" s="1"/>
      <c r="O37" s="1"/>
      <c r="P37" s="49"/>
      <c r="Q37" s="23"/>
      <c r="R37" s="49"/>
      <c r="U37" s="1"/>
      <c r="V37" s="1">
        <v>2200.0</v>
      </c>
      <c r="W37" s="11">
        <v>6.057</v>
      </c>
      <c r="X37" s="12">
        <v>4.726</v>
      </c>
      <c r="Y37" s="12">
        <v>5.543</v>
      </c>
      <c r="Z37" s="1"/>
      <c r="AA37" s="15"/>
      <c r="AB37" s="1"/>
      <c r="AC37" s="1">
        <v>2200.0</v>
      </c>
      <c r="AD37" s="11">
        <v>7.698</v>
      </c>
      <c r="AE37" s="12">
        <v>8.233</v>
      </c>
      <c r="AF37" s="2">
        <v>8.499</v>
      </c>
      <c r="AG37" s="1"/>
      <c r="AH37" s="15"/>
    </row>
    <row r="38" ht="15.75" customHeight="1">
      <c r="B38" s="9">
        <v>2600.0</v>
      </c>
      <c r="C38" s="10">
        <f t="shared" si="9"/>
        <v>7.096</v>
      </c>
      <c r="D38" s="43">
        <f t="shared" si="10"/>
        <v>10.79966667</v>
      </c>
      <c r="F38" s="23"/>
      <c r="G38" s="23"/>
      <c r="H38" s="1"/>
      <c r="I38" s="49"/>
      <c r="J38" s="49"/>
      <c r="K38" s="23"/>
      <c r="L38" s="1"/>
      <c r="M38" s="23"/>
      <c r="N38" s="1"/>
      <c r="O38" s="1"/>
      <c r="P38" s="49"/>
      <c r="Q38" s="23"/>
      <c r="R38" s="49"/>
      <c r="U38" s="1"/>
      <c r="V38" s="1">
        <v>2600.0</v>
      </c>
      <c r="W38" s="11">
        <v>6.862</v>
      </c>
      <c r="X38" s="12">
        <v>6.864</v>
      </c>
      <c r="Y38" s="12">
        <v>7.562</v>
      </c>
      <c r="Z38" s="1"/>
      <c r="AA38" s="15"/>
      <c r="AB38" s="1"/>
      <c r="AC38" s="1">
        <v>2600.0</v>
      </c>
      <c r="AD38" s="11">
        <v>8.517</v>
      </c>
      <c r="AE38" s="12">
        <v>11.867</v>
      </c>
      <c r="AF38" s="2">
        <v>12.015</v>
      </c>
      <c r="AG38" s="1"/>
      <c r="AH38" s="15"/>
    </row>
    <row r="39" ht="15.75" customHeight="1">
      <c r="B39" s="9">
        <v>3000.0</v>
      </c>
      <c r="C39" s="10">
        <f t="shared" si="9"/>
        <v>11.824</v>
      </c>
      <c r="D39" s="43">
        <f t="shared" si="10"/>
        <v>13.29766667</v>
      </c>
      <c r="F39" s="23"/>
      <c r="G39" s="23"/>
      <c r="H39" s="1"/>
      <c r="I39" s="49"/>
      <c r="J39" s="49"/>
      <c r="K39" s="23"/>
      <c r="L39" s="1"/>
      <c r="M39" s="23"/>
      <c r="N39" s="1"/>
      <c r="O39" s="1"/>
      <c r="P39" s="49"/>
      <c r="Q39" s="23"/>
      <c r="R39" s="49"/>
      <c r="U39" s="1"/>
      <c r="V39" s="1">
        <v>3000.0</v>
      </c>
      <c r="W39" s="11">
        <v>11.97</v>
      </c>
      <c r="X39" s="12">
        <v>11.512</v>
      </c>
      <c r="Y39" s="12">
        <v>11.99</v>
      </c>
      <c r="Z39" s="1"/>
      <c r="AA39" s="15"/>
      <c r="AB39" s="1"/>
      <c r="AC39" s="1">
        <v>3000.0</v>
      </c>
      <c r="AD39" s="11">
        <v>13.923</v>
      </c>
      <c r="AE39" s="12">
        <v>12.932</v>
      </c>
      <c r="AF39" s="2">
        <v>13.038</v>
      </c>
      <c r="AG39" s="1"/>
      <c r="AH39" s="15"/>
    </row>
    <row r="40" ht="18.75" customHeight="1">
      <c r="B40" s="52">
        <v>4096.0</v>
      </c>
      <c r="C40" s="10">
        <f t="shared" ref="C40:C43" si="11">AVERAGE(W40:X40)</f>
        <v>28.5285</v>
      </c>
      <c r="D40" s="43">
        <f t="shared" ref="D40:D43" si="12">AVERAGE(AD40:AE40)</f>
        <v>37.4535</v>
      </c>
      <c r="F40" s="23"/>
      <c r="G40" s="23"/>
      <c r="H40" s="1"/>
      <c r="I40" s="49"/>
      <c r="J40" s="49"/>
      <c r="K40" s="23"/>
      <c r="L40" s="1"/>
      <c r="M40" s="23"/>
      <c r="N40" s="23"/>
      <c r="O40" s="23"/>
      <c r="P40" s="49"/>
      <c r="Q40" s="23"/>
      <c r="R40" s="49"/>
      <c r="V40" s="1">
        <v>4096.0</v>
      </c>
      <c r="W40" s="11">
        <v>33.157</v>
      </c>
      <c r="X40" s="12">
        <v>23.9</v>
      </c>
      <c r="Y40" s="8"/>
      <c r="Z40" s="1"/>
      <c r="AA40" s="15"/>
      <c r="AB40" s="1"/>
      <c r="AC40" s="1">
        <v>4096.0</v>
      </c>
      <c r="AD40" s="11">
        <v>41.206</v>
      </c>
      <c r="AE40" s="12">
        <v>33.701</v>
      </c>
      <c r="AF40" s="1"/>
      <c r="AG40" s="1"/>
      <c r="AH40" s="15"/>
    </row>
    <row r="41" ht="15.75" customHeight="1">
      <c r="B41" s="52">
        <v>6144.0</v>
      </c>
      <c r="C41" s="10">
        <f t="shared" si="11"/>
        <v>115.0735</v>
      </c>
      <c r="D41" s="43">
        <f t="shared" si="12"/>
        <v>136.507</v>
      </c>
      <c r="F41" s="23"/>
      <c r="G41" s="23"/>
      <c r="H41" s="23"/>
      <c r="I41" s="23"/>
      <c r="J41" s="49"/>
      <c r="K41" s="23"/>
      <c r="L41" s="1"/>
      <c r="M41" s="23"/>
      <c r="N41" s="23"/>
      <c r="O41" s="23"/>
      <c r="P41" s="49"/>
      <c r="Q41" s="23"/>
      <c r="R41" s="49"/>
      <c r="V41" s="1">
        <v>6144.0</v>
      </c>
      <c r="W41" s="11">
        <v>127.873</v>
      </c>
      <c r="X41" s="12">
        <v>102.274</v>
      </c>
      <c r="Y41" s="8"/>
      <c r="Z41" s="1"/>
      <c r="AA41" s="15"/>
      <c r="AB41" s="1"/>
      <c r="AC41" s="1">
        <v>6144.0</v>
      </c>
      <c r="AD41" s="11">
        <v>154.362</v>
      </c>
      <c r="AE41" s="12">
        <v>118.652</v>
      </c>
      <c r="AF41" s="1"/>
      <c r="AG41" s="1"/>
      <c r="AH41" s="15"/>
    </row>
    <row r="42" ht="15.75" customHeight="1">
      <c r="B42" s="52">
        <v>8192.0</v>
      </c>
      <c r="C42" s="10">
        <f t="shared" si="11"/>
        <v>254.827</v>
      </c>
      <c r="D42" s="43">
        <f t="shared" si="12"/>
        <v>327.783</v>
      </c>
      <c r="F42" s="23"/>
      <c r="G42" s="23"/>
      <c r="H42" s="23"/>
      <c r="I42" s="23"/>
      <c r="J42" s="49"/>
      <c r="K42" s="23"/>
      <c r="L42" s="1"/>
      <c r="M42" s="23"/>
      <c r="N42" s="23"/>
      <c r="O42" s="23"/>
      <c r="P42" s="23"/>
      <c r="Q42" s="23"/>
      <c r="V42" s="1">
        <v>8192.0</v>
      </c>
      <c r="W42" s="11">
        <v>262.061</v>
      </c>
      <c r="X42" s="12">
        <v>247.593</v>
      </c>
      <c r="Y42" s="8"/>
      <c r="Z42" s="1"/>
      <c r="AA42" s="15"/>
      <c r="AB42" s="1"/>
      <c r="AC42" s="1">
        <v>8192.0</v>
      </c>
      <c r="AD42" s="11">
        <v>330.792</v>
      </c>
      <c r="AE42" s="12">
        <v>324.774</v>
      </c>
      <c r="AF42" s="1"/>
      <c r="AG42" s="1"/>
      <c r="AH42" s="15"/>
    </row>
    <row r="43" ht="15.75" customHeight="1">
      <c r="B43" s="52">
        <v>10240.0</v>
      </c>
      <c r="C43" s="10">
        <f t="shared" si="11"/>
        <v>503.313</v>
      </c>
      <c r="D43" s="43">
        <f t="shared" si="12"/>
        <v>770.5905</v>
      </c>
      <c r="F43" s="23"/>
      <c r="G43" s="23"/>
      <c r="H43" s="23"/>
      <c r="I43" s="23"/>
      <c r="J43" s="23"/>
      <c r="V43" s="1">
        <v>10240.0</v>
      </c>
      <c r="W43" s="18">
        <v>519.655</v>
      </c>
      <c r="X43" s="19">
        <v>486.971</v>
      </c>
      <c r="Y43" s="21"/>
      <c r="Z43" s="25"/>
      <c r="AA43" s="26"/>
      <c r="AB43" s="1"/>
      <c r="AC43" s="1">
        <v>10240.0</v>
      </c>
      <c r="AD43" s="18">
        <v>751.034</v>
      </c>
      <c r="AE43" s="19">
        <v>790.147</v>
      </c>
      <c r="AF43" s="25"/>
      <c r="AG43" s="25"/>
      <c r="AH43" s="26"/>
    </row>
    <row r="44" ht="15.75" customHeight="1">
      <c r="B44" s="23"/>
      <c r="C44" s="23"/>
      <c r="D44" s="23"/>
      <c r="F44" s="23"/>
      <c r="G44" s="23"/>
      <c r="H44" s="23"/>
      <c r="I44" s="23"/>
      <c r="J44" s="23"/>
      <c r="Y44" s="1"/>
      <c r="Z44" s="1"/>
      <c r="AA44" s="1"/>
    </row>
    <row r="45" ht="15.75" customHeight="1">
      <c r="B45" s="23"/>
      <c r="C45" s="23"/>
      <c r="D45" s="23"/>
      <c r="F45" s="23"/>
      <c r="G45" s="23"/>
      <c r="H45" s="23"/>
      <c r="I45" s="23"/>
      <c r="J45" s="23"/>
      <c r="Y45" s="1"/>
      <c r="Z45" s="1"/>
      <c r="AA45" s="1"/>
    </row>
    <row r="46" ht="15.75" customHeight="1">
      <c r="B46" s="23"/>
      <c r="C46" s="23"/>
      <c r="D46" s="23"/>
      <c r="F46" s="23"/>
      <c r="G46" s="23"/>
      <c r="H46" s="23"/>
      <c r="I46" s="23"/>
      <c r="J46" s="23"/>
      <c r="Y46" s="1"/>
      <c r="Z46" s="1"/>
      <c r="AA46" s="1"/>
    </row>
    <row r="47" ht="15.75" customHeight="1">
      <c r="A47" s="2" t="s">
        <v>0</v>
      </c>
      <c r="B47" s="50" t="s">
        <v>1</v>
      </c>
      <c r="C47" s="51" t="s">
        <v>21</v>
      </c>
      <c r="D47" s="51" t="s">
        <v>22</v>
      </c>
      <c r="E47" s="53" t="s">
        <v>23</v>
      </c>
      <c r="F47" s="23"/>
      <c r="G47" s="23"/>
      <c r="H47" s="54" t="s">
        <v>1</v>
      </c>
      <c r="I47" s="55" t="s">
        <v>24</v>
      </c>
      <c r="J47" s="6"/>
      <c r="K47" s="6"/>
      <c r="L47" s="6"/>
      <c r="M47" s="7"/>
      <c r="O47" s="54" t="s">
        <v>1</v>
      </c>
      <c r="P47" s="55" t="s">
        <v>25</v>
      </c>
      <c r="Q47" s="6"/>
      <c r="R47" s="6"/>
      <c r="S47" s="6"/>
      <c r="T47" s="7"/>
      <c r="V47" s="54" t="s">
        <v>1</v>
      </c>
      <c r="W47" s="55" t="s">
        <v>26</v>
      </c>
      <c r="X47" s="6"/>
      <c r="Y47" s="6"/>
      <c r="Z47" s="6"/>
      <c r="AA47" s="7"/>
    </row>
    <row r="48" ht="15.75" customHeight="1">
      <c r="A48" s="1"/>
      <c r="B48" s="52">
        <v>4096.0</v>
      </c>
      <c r="C48" s="43">
        <f t="shared" ref="C48:C51" si="13">AVERAGE(I48:J48)</f>
        <v>48.744</v>
      </c>
      <c r="D48" s="43">
        <f t="shared" ref="D48:D51" si="14">AVERAGE(P48:Q48)</f>
        <v>44.919</v>
      </c>
      <c r="E48" s="10">
        <f t="shared" ref="E48:E51" si="15">AVERAGE(W48:X48)</f>
        <v>55.4905</v>
      </c>
      <c r="F48" s="23"/>
      <c r="G48" s="23"/>
      <c r="H48" s="23">
        <v>4096.0</v>
      </c>
      <c r="I48" s="16">
        <v>47.108</v>
      </c>
      <c r="J48" s="12">
        <v>50.38</v>
      </c>
      <c r="K48" s="1"/>
      <c r="L48" s="1"/>
      <c r="M48" s="15"/>
      <c r="O48" s="23">
        <v>4096.0</v>
      </c>
      <c r="P48" s="16">
        <v>46.094</v>
      </c>
      <c r="Q48" s="17">
        <v>43.744</v>
      </c>
      <c r="T48" s="56"/>
      <c r="V48" s="23">
        <v>4096.0</v>
      </c>
      <c r="W48" s="16">
        <v>49.488</v>
      </c>
      <c r="X48" s="17">
        <v>61.493</v>
      </c>
      <c r="Y48" s="1"/>
      <c r="Z48" s="1"/>
      <c r="AA48" s="15"/>
    </row>
    <row r="49" ht="15.75" customHeight="1">
      <c r="A49" s="1"/>
      <c r="B49" s="52">
        <v>6144.0</v>
      </c>
      <c r="C49" s="43">
        <f t="shared" si="13"/>
        <v>138.969</v>
      </c>
      <c r="D49" s="43">
        <f t="shared" si="14"/>
        <v>132.611</v>
      </c>
      <c r="E49" s="10">
        <f t="shared" si="15"/>
        <v>155.0185</v>
      </c>
      <c r="F49" s="23"/>
      <c r="G49" s="23"/>
      <c r="H49" s="23">
        <v>6144.0</v>
      </c>
      <c r="I49" s="16">
        <v>137.911</v>
      </c>
      <c r="J49" s="12">
        <v>140.027</v>
      </c>
      <c r="K49" s="1"/>
      <c r="L49" s="1"/>
      <c r="M49" s="15"/>
      <c r="O49" s="23">
        <v>6144.0</v>
      </c>
      <c r="P49" s="16">
        <v>137.373</v>
      </c>
      <c r="Q49" s="17">
        <v>127.849</v>
      </c>
      <c r="T49" s="56"/>
      <c r="V49" s="23">
        <v>6144.0</v>
      </c>
      <c r="W49" s="16">
        <v>155.767</v>
      </c>
      <c r="X49" s="17">
        <v>154.27</v>
      </c>
      <c r="Y49" s="1"/>
      <c r="Z49" s="1"/>
      <c r="AA49" s="15"/>
    </row>
    <row r="50" ht="15.75" customHeight="1">
      <c r="A50" s="1"/>
      <c r="B50" s="52">
        <v>8192.0</v>
      </c>
      <c r="C50" s="43">
        <f t="shared" si="13"/>
        <v>387.937</v>
      </c>
      <c r="D50" s="43">
        <f t="shared" si="14"/>
        <v>323.754</v>
      </c>
      <c r="E50" s="10">
        <f t="shared" si="15"/>
        <v>396.229</v>
      </c>
      <c r="F50" s="23"/>
      <c r="G50" s="23"/>
      <c r="H50" s="23">
        <v>8192.0</v>
      </c>
      <c r="I50" s="16">
        <v>387.937</v>
      </c>
      <c r="J50" s="12" t="s">
        <v>27</v>
      </c>
      <c r="K50" s="1"/>
      <c r="L50" s="1"/>
      <c r="M50" s="15"/>
      <c r="O50" s="23">
        <v>8192.0</v>
      </c>
      <c r="P50" s="16">
        <v>323.754</v>
      </c>
      <c r="Q50" s="17" t="s">
        <v>28</v>
      </c>
      <c r="T50" s="56"/>
      <c r="V50" s="23">
        <v>8192.0</v>
      </c>
      <c r="W50" s="16">
        <v>372.142</v>
      </c>
      <c r="X50" s="17">
        <v>420.316</v>
      </c>
      <c r="Y50" s="1"/>
      <c r="Z50" s="1"/>
      <c r="AA50" s="15"/>
    </row>
    <row r="51" ht="15.75" customHeight="1">
      <c r="A51" s="1"/>
      <c r="B51" s="52">
        <v>10240.0</v>
      </c>
      <c r="C51" s="43">
        <f t="shared" si="13"/>
        <v>700.5885</v>
      </c>
      <c r="D51" s="43">
        <f t="shared" si="14"/>
        <v>678.625</v>
      </c>
      <c r="E51" s="10">
        <f t="shared" si="15"/>
        <v>778.994</v>
      </c>
      <c r="F51" s="23"/>
      <c r="G51" s="23"/>
      <c r="H51" s="23">
        <v>10240.0</v>
      </c>
      <c r="I51" s="29">
        <v>700.355</v>
      </c>
      <c r="J51" s="19">
        <v>700.822</v>
      </c>
      <c r="K51" s="25"/>
      <c r="L51" s="25"/>
      <c r="M51" s="26"/>
      <c r="O51" s="23">
        <v>10240.0</v>
      </c>
      <c r="P51" s="29">
        <v>678.625</v>
      </c>
      <c r="Q51" s="30" t="s">
        <v>29</v>
      </c>
      <c r="R51" s="57"/>
      <c r="S51" s="57"/>
      <c r="T51" s="58"/>
      <c r="V51" s="23">
        <v>10240.0</v>
      </c>
      <c r="W51" s="29">
        <v>778.994</v>
      </c>
      <c r="X51" s="30" t="s">
        <v>30</v>
      </c>
      <c r="Y51" s="25"/>
      <c r="Z51" s="25"/>
      <c r="AA51" s="26"/>
    </row>
    <row r="52" ht="15.75" customHeight="1">
      <c r="B52" s="23"/>
      <c r="C52" s="23"/>
      <c r="D52" s="23"/>
      <c r="F52" s="23"/>
      <c r="G52" s="23"/>
      <c r="H52" s="23"/>
      <c r="I52" s="23"/>
      <c r="J52" s="23"/>
      <c r="Y52" s="1"/>
      <c r="Z52" s="1"/>
      <c r="AA52" s="1"/>
    </row>
    <row r="53" ht="15.75" customHeight="1">
      <c r="B53" s="23"/>
      <c r="C53" s="23"/>
      <c r="D53" s="23"/>
      <c r="F53" s="23"/>
      <c r="G53" s="23"/>
      <c r="H53" s="23"/>
      <c r="I53" s="23"/>
      <c r="J53" s="23"/>
      <c r="Y53" s="1"/>
      <c r="Z53" s="1"/>
      <c r="AA53" s="1"/>
    </row>
    <row r="54" ht="15.75" customHeight="1">
      <c r="B54" s="23"/>
      <c r="C54" s="23"/>
      <c r="D54" s="23"/>
      <c r="F54" s="23"/>
      <c r="G54" s="23"/>
      <c r="H54" s="23"/>
      <c r="I54" s="23"/>
      <c r="J54" s="23"/>
      <c r="Y54" s="1"/>
      <c r="Z54" s="1"/>
      <c r="AA54" s="1"/>
    </row>
    <row r="55" ht="15.75" customHeight="1">
      <c r="A55" s="1" t="s">
        <v>31</v>
      </c>
      <c r="B55" s="50" t="s">
        <v>1</v>
      </c>
      <c r="C55" s="59" t="s">
        <v>32</v>
      </c>
      <c r="D55" s="59" t="s">
        <v>33</v>
      </c>
      <c r="E55" s="59" t="s">
        <v>34</v>
      </c>
      <c r="F55" s="23"/>
      <c r="G55" s="23"/>
      <c r="H55" s="54" t="s">
        <v>1</v>
      </c>
      <c r="I55" s="55" t="s">
        <v>35</v>
      </c>
      <c r="J55" s="6"/>
      <c r="K55" s="6"/>
      <c r="L55" s="6"/>
      <c r="M55" s="7"/>
      <c r="O55" s="54" t="s">
        <v>1</v>
      </c>
      <c r="P55" s="55" t="s">
        <v>36</v>
      </c>
      <c r="Q55" s="6"/>
      <c r="R55" s="6"/>
      <c r="S55" s="6"/>
      <c r="T55" s="7"/>
      <c r="V55" s="54" t="s">
        <v>1</v>
      </c>
      <c r="W55" s="55" t="s">
        <v>37</v>
      </c>
      <c r="X55" s="6"/>
      <c r="Y55" s="6"/>
      <c r="Z55" s="6"/>
      <c r="AA55" s="7"/>
    </row>
    <row r="56" ht="15.75" customHeight="1">
      <c r="A56" s="1"/>
      <c r="B56" s="52">
        <v>4096.0</v>
      </c>
      <c r="C56" s="43">
        <f t="shared" ref="C56:C59" si="16">AVERAGE(I56:J56)</f>
        <v>10153373689</v>
      </c>
      <c r="D56" s="43">
        <f t="shared" ref="D56:D59" si="17">AVERAGE(P56:Q56)</f>
        <v>9396733227</v>
      </c>
      <c r="E56" s="10">
        <f t="shared" ref="E56:E59" si="18">AVERAGE(W56:X56)</f>
        <v>9047815941</v>
      </c>
      <c r="F56" s="23"/>
      <c r="G56" s="23"/>
      <c r="H56" s="23">
        <v>4096.0</v>
      </c>
      <c r="I56" s="16">
        <v>1.0152464608E10</v>
      </c>
      <c r="J56" s="12">
        <v>1.0154282769E10</v>
      </c>
      <c r="K56" s="1"/>
      <c r="L56" s="1"/>
      <c r="M56" s="15"/>
      <c r="O56" s="23">
        <v>4096.0</v>
      </c>
      <c r="P56" s="16">
        <v>9.39598777E9</v>
      </c>
      <c r="Q56" s="54">
        <v>9.397478684E9</v>
      </c>
      <c r="T56" s="56"/>
      <c r="V56" s="23">
        <v>4096.0</v>
      </c>
      <c r="W56" s="16">
        <v>9.039482022E9</v>
      </c>
      <c r="X56" s="17">
        <v>9.056149859E9</v>
      </c>
      <c r="Y56" s="23"/>
      <c r="Z56" s="1"/>
      <c r="AA56" s="15"/>
      <c r="AC56" s="60"/>
    </row>
    <row r="57" ht="15.75" customHeight="1">
      <c r="A57" s="1"/>
      <c r="B57" s="52">
        <v>6144.0</v>
      </c>
      <c r="C57" s="43">
        <f t="shared" si="16"/>
        <v>34235166583</v>
      </c>
      <c r="D57" s="43">
        <f t="shared" si="17"/>
        <v>31684677333</v>
      </c>
      <c r="E57" s="10">
        <f t="shared" si="18"/>
        <v>30469734242</v>
      </c>
      <c r="F57" s="23"/>
      <c r="G57" s="23"/>
      <c r="H57" s="23">
        <v>6144.0</v>
      </c>
      <c r="I57" s="16">
        <v>3.4238113928E10</v>
      </c>
      <c r="J57" s="12">
        <v>3.4232219237E10</v>
      </c>
      <c r="K57" s="1"/>
      <c r="L57" s="1"/>
      <c r="M57" s="15"/>
      <c r="N57" s="23"/>
      <c r="O57" s="23">
        <v>6144.0</v>
      </c>
      <c r="P57" s="16">
        <v>3.1691827797E10</v>
      </c>
      <c r="Q57" s="17">
        <v>3.1677526868E10</v>
      </c>
      <c r="T57" s="56"/>
      <c r="U57" s="23"/>
      <c r="V57" s="23">
        <v>6144.0</v>
      </c>
      <c r="W57" s="16">
        <v>3.0470868126E10</v>
      </c>
      <c r="X57" s="17">
        <v>3.0468600357E10</v>
      </c>
      <c r="Y57" s="1"/>
      <c r="Z57" s="1"/>
      <c r="AA57" s="15"/>
      <c r="AC57" s="60"/>
    </row>
    <row r="58" ht="15.75" customHeight="1">
      <c r="A58" s="1"/>
      <c r="B58" s="52">
        <v>8192.0</v>
      </c>
      <c r="C58" s="43">
        <f t="shared" si="16"/>
        <v>81210340827</v>
      </c>
      <c r="D58" s="43">
        <f t="shared" si="17"/>
        <v>75183652398</v>
      </c>
      <c r="E58" s="10">
        <f t="shared" si="18"/>
        <v>72315772192</v>
      </c>
      <c r="F58" s="23"/>
      <c r="G58" s="23"/>
      <c r="H58" s="23">
        <v>8192.0</v>
      </c>
      <c r="I58" s="16">
        <v>8.12082856E10</v>
      </c>
      <c r="J58" s="12">
        <v>8.1212396054E10</v>
      </c>
      <c r="K58" s="1"/>
      <c r="L58" s="1"/>
      <c r="M58" s="15"/>
      <c r="N58" s="23"/>
      <c r="O58" s="23">
        <v>8192.0</v>
      </c>
      <c r="P58" s="16">
        <v>7.5107606898E10</v>
      </c>
      <c r="Q58" s="17">
        <v>7.5259697898E10</v>
      </c>
      <c r="T58" s="56"/>
      <c r="U58" s="23"/>
      <c r="V58" s="23">
        <v>8192.0</v>
      </c>
      <c r="W58" s="16">
        <v>7.2303890569E10</v>
      </c>
      <c r="X58" s="17">
        <v>7.2327653815E10</v>
      </c>
      <c r="Y58" s="1"/>
      <c r="Z58" s="1"/>
      <c r="AA58" s="15"/>
      <c r="AC58" s="60"/>
    </row>
    <row r="59" ht="15.75" customHeight="1">
      <c r="A59" s="1"/>
      <c r="B59" s="52">
        <v>10240.0</v>
      </c>
      <c r="C59" s="43">
        <f t="shared" si="16"/>
        <v>158624537602</v>
      </c>
      <c r="D59" s="43">
        <f t="shared" si="17"/>
        <v>146967457396</v>
      </c>
      <c r="E59" s="10">
        <f t="shared" si="18"/>
        <v>141110309926</v>
      </c>
      <c r="F59" s="23"/>
      <c r="G59" s="23"/>
      <c r="H59" s="23">
        <v>10240.0</v>
      </c>
      <c r="I59" s="29">
        <v>1.58624342501E11</v>
      </c>
      <c r="J59" s="19">
        <v>1.58624732702E11</v>
      </c>
      <c r="K59" s="25"/>
      <c r="L59" s="25"/>
      <c r="M59" s="26"/>
      <c r="N59" s="23"/>
      <c r="O59" s="23">
        <v>10240.0</v>
      </c>
      <c r="P59" s="29">
        <v>1.46899549149E11</v>
      </c>
      <c r="Q59" s="61">
        <v>1.47035365642E11</v>
      </c>
      <c r="R59" s="57"/>
      <c r="S59" s="57"/>
      <c r="T59" s="58"/>
      <c r="U59" s="23"/>
      <c r="V59" s="23">
        <v>10240.0</v>
      </c>
      <c r="W59" s="29">
        <v>1.41094256373E11</v>
      </c>
      <c r="X59" s="61">
        <v>1.41126363479E11</v>
      </c>
      <c r="Y59" s="62"/>
      <c r="Z59" s="25"/>
      <c r="AA59" s="26"/>
      <c r="AC59" s="60"/>
    </row>
    <row r="60" ht="15.75" customHeight="1">
      <c r="B60" s="23"/>
      <c r="C60" s="23"/>
      <c r="D60" s="23"/>
      <c r="F60" s="23"/>
      <c r="G60" s="23"/>
      <c r="I60" s="23"/>
      <c r="J60" s="23"/>
      <c r="K60" s="23"/>
      <c r="L60" s="23"/>
      <c r="M60" s="23"/>
      <c r="N60" s="23"/>
      <c r="O60" s="23"/>
      <c r="P60" s="23"/>
      <c r="Q60" s="23"/>
      <c r="R60" s="23"/>
      <c r="T60" s="23"/>
      <c r="U60" s="23"/>
      <c r="Y60" s="1"/>
      <c r="Z60" s="1"/>
      <c r="AA60" s="1"/>
    </row>
    <row r="61" ht="15.75" customHeight="1">
      <c r="B61" s="23"/>
      <c r="C61" s="23"/>
      <c r="D61" s="23"/>
      <c r="F61" s="23"/>
      <c r="G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T61" s="23"/>
      <c r="U61" s="23"/>
      <c r="Y61" s="1"/>
      <c r="Z61" s="1"/>
      <c r="AA61" s="1"/>
    </row>
    <row r="62" ht="15.75" customHeight="1">
      <c r="B62" s="23"/>
      <c r="C62" s="23"/>
      <c r="D62" s="23"/>
      <c r="F62" s="23"/>
      <c r="G62" s="23"/>
      <c r="I62" s="23"/>
      <c r="J62" s="23"/>
      <c r="K62" s="23"/>
      <c r="L62" s="23"/>
      <c r="M62" s="23"/>
      <c r="N62" s="23"/>
      <c r="O62" s="23"/>
      <c r="P62" s="23"/>
      <c r="Q62" s="23"/>
      <c r="R62" s="23"/>
      <c r="T62" s="23"/>
      <c r="U62" s="23"/>
      <c r="Y62" s="1"/>
      <c r="Z62" s="1"/>
      <c r="AA62" s="1"/>
    </row>
    <row r="63" ht="15.75" customHeight="1">
      <c r="A63" s="2" t="s">
        <v>38</v>
      </c>
      <c r="B63" s="50" t="s">
        <v>1</v>
      </c>
      <c r="C63" s="59" t="s">
        <v>39</v>
      </c>
      <c r="D63" s="59" t="s">
        <v>40</v>
      </c>
      <c r="E63" s="59" t="s">
        <v>41</v>
      </c>
      <c r="F63" s="23"/>
      <c r="G63" s="23"/>
      <c r="H63" s="54" t="s">
        <v>1</v>
      </c>
      <c r="I63" s="55" t="s">
        <v>42</v>
      </c>
      <c r="J63" s="6"/>
      <c r="K63" s="6"/>
      <c r="L63" s="6"/>
      <c r="M63" s="7"/>
      <c r="N63" s="23"/>
      <c r="O63" s="54" t="s">
        <v>1</v>
      </c>
      <c r="P63" s="55" t="s">
        <v>43</v>
      </c>
      <c r="Q63" s="6"/>
      <c r="R63" s="6"/>
      <c r="S63" s="6"/>
      <c r="T63" s="7"/>
      <c r="U63" s="23"/>
      <c r="V63" s="54" t="s">
        <v>1</v>
      </c>
      <c r="W63" s="55" t="s">
        <v>44</v>
      </c>
      <c r="X63" s="6"/>
      <c r="Y63" s="6"/>
      <c r="Z63" s="6"/>
      <c r="AA63" s="7"/>
    </row>
    <row r="64" ht="15.75" customHeight="1">
      <c r="B64" s="52">
        <v>4096.0</v>
      </c>
      <c r="C64" s="43">
        <f t="shared" ref="C64:C67" si="19">AVERAGE(I64:J64)</f>
        <v>14843317189</v>
      </c>
      <c r="D64" s="43">
        <f t="shared" ref="D64:D67" si="20">AVERAGE(P64:Q64)</f>
        <v>12643151931</v>
      </c>
      <c r="E64" s="10">
        <f t="shared" ref="E64:E67" si="21">AVERAGE(W64:X64)</f>
        <v>10121906902</v>
      </c>
      <c r="F64" s="23"/>
      <c r="G64" s="23"/>
      <c r="H64" s="23">
        <v>4096.0</v>
      </c>
      <c r="I64" s="16">
        <v>1.5709777488E10</v>
      </c>
      <c r="J64" s="17">
        <v>1.397685689E10</v>
      </c>
      <c r="K64" s="1"/>
      <c r="L64" s="1"/>
      <c r="M64" s="15"/>
      <c r="N64" s="23"/>
      <c r="O64" s="23">
        <v>4096.0</v>
      </c>
      <c r="P64" s="16">
        <v>1.2716152797E10</v>
      </c>
      <c r="Q64" s="17">
        <v>1.2570151064E10</v>
      </c>
      <c r="T64" s="56"/>
      <c r="U64" s="23"/>
      <c r="V64" s="23">
        <v>4096.0</v>
      </c>
      <c r="W64" s="16">
        <v>1.0087342799E10</v>
      </c>
      <c r="X64" s="17">
        <v>1.0156471005E10</v>
      </c>
      <c r="Y64" s="23"/>
      <c r="Z64" s="1"/>
      <c r="AA64" s="15"/>
    </row>
    <row r="65" ht="15.75" customHeight="1">
      <c r="B65" s="52">
        <v>6144.0</v>
      </c>
      <c r="C65" s="43">
        <f t="shared" si="19"/>
        <v>43231382774</v>
      </c>
      <c r="D65" s="43">
        <f t="shared" si="20"/>
        <v>42113474379</v>
      </c>
      <c r="E65" s="10">
        <f t="shared" si="21"/>
        <v>34592126372</v>
      </c>
      <c r="F65" s="23"/>
      <c r="G65" s="23"/>
      <c r="H65" s="23">
        <v>6144.0</v>
      </c>
      <c r="I65" s="16">
        <v>4.3395480954E10</v>
      </c>
      <c r="J65" s="17">
        <v>4.3067284593E10</v>
      </c>
      <c r="K65" s="1"/>
      <c r="L65" s="1"/>
      <c r="M65" s="15"/>
      <c r="N65" s="23"/>
      <c r="O65" s="23">
        <v>6144.0</v>
      </c>
      <c r="P65" s="16">
        <v>4.2665637189E10</v>
      </c>
      <c r="Q65" s="17">
        <v>4.1561311569E10</v>
      </c>
      <c r="T65" s="56"/>
      <c r="U65" s="23"/>
      <c r="V65" s="23">
        <v>6144.0</v>
      </c>
      <c r="W65" s="16">
        <v>3.4650060262E10</v>
      </c>
      <c r="X65" s="17">
        <v>3.4534192482E10</v>
      </c>
      <c r="Y65" s="1"/>
      <c r="Z65" s="1"/>
      <c r="AA65" s="15"/>
    </row>
    <row r="66" ht="15.75" customHeight="1">
      <c r="B66" s="52">
        <v>8192.0</v>
      </c>
      <c r="C66" s="43">
        <f t="shared" si="19"/>
        <v>133829427701</v>
      </c>
      <c r="D66" s="43">
        <f t="shared" si="20"/>
        <v>102020524655</v>
      </c>
      <c r="E66" s="10">
        <f t="shared" si="21"/>
        <v>79876295812</v>
      </c>
      <c r="F66" s="23"/>
      <c r="G66" s="23"/>
      <c r="H66" s="23">
        <v>8192.0</v>
      </c>
      <c r="I66" s="16">
        <v>1.34317890196E11</v>
      </c>
      <c r="J66" s="17">
        <v>1.33340965206E11</v>
      </c>
      <c r="K66" s="1"/>
      <c r="L66" s="1"/>
      <c r="M66" s="15"/>
      <c r="N66" s="23"/>
      <c r="O66" s="23">
        <v>8192.0</v>
      </c>
      <c r="P66" s="16">
        <v>1.01361775426E11</v>
      </c>
      <c r="Q66" s="17">
        <v>1.02679273883E11</v>
      </c>
      <c r="T66" s="56"/>
      <c r="U66" s="23"/>
      <c r="V66" s="23">
        <v>8192.0</v>
      </c>
      <c r="W66" s="16">
        <v>7.9358025666E10</v>
      </c>
      <c r="X66" s="17">
        <v>8.0394565958E10</v>
      </c>
      <c r="Y66" s="1"/>
      <c r="Z66" s="1"/>
      <c r="AA66" s="15"/>
    </row>
    <row r="67" ht="15.75" customHeight="1">
      <c r="B67" s="52">
        <v>10240.0</v>
      </c>
      <c r="C67" s="43">
        <f t="shared" si="19"/>
        <v>183462133040</v>
      </c>
      <c r="D67" s="43">
        <f t="shared" si="20"/>
        <v>191977015379</v>
      </c>
      <c r="E67" s="10">
        <f t="shared" si="21"/>
        <v>160910480390</v>
      </c>
      <c r="F67" s="23"/>
      <c r="G67" s="23"/>
      <c r="H67" s="23">
        <v>10240.0</v>
      </c>
      <c r="I67" s="29">
        <v>1.90451218332E11</v>
      </c>
      <c r="J67" s="30">
        <v>1.76473047747E11</v>
      </c>
      <c r="K67" s="25"/>
      <c r="L67" s="25"/>
      <c r="M67" s="26"/>
      <c r="N67" s="23"/>
      <c r="O67" s="23">
        <v>10240.0</v>
      </c>
      <c r="P67" s="29">
        <v>1.91904841989E11</v>
      </c>
      <c r="Q67" s="30">
        <v>1.92049188769E11</v>
      </c>
      <c r="R67" s="57"/>
      <c r="S67" s="57"/>
      <c r="T67" s="58"/>
      <c r="U67" s="23"/>
      <c r="V67" s="23">
        <v>10240.0</v>
      </c>
      <c r="W67" s="29">
        <v>1.61069409225E11</v>
      </c>
      <c r="X67" s="61">
        <v>1.60751551554E11</v>
      </c>
      <c r="Y67" s="62"/>
      <c r="Z67" s="25"/>
      <c r="AA67" s="26"/>
    </row>
    <row r="68" ht="15.75" customHeight="1">
      <c r="B68" s="23"/>
      <c r="C68" s="23"/>
      <c r="D68" s="23"/>
      <c r="E68" s="23"/>
      <c r="F68" s="23"/>
      <c r="G68" s="23"/>
      <c r="I68" s="23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Y68" s="1"/>
      <c r="Z68" s="1"/>
      <c r="AA68" s="1"/>
    </row>
    <row r="69" ht="15.75" customHeight="1">
      <c r="F69" s="23"/>
      <c r="G69" s="23"/>
      <c r="I69" s="23"/>
      <c r="K69" s="23"/>
      <c r="M69" s="23"/>
      <c r="N69" s="23"/>
      <c r="P69" s="23"/>
      <c r="Q69" s="23"/>
      <c r="R69" s="23"/>
      <c r="T69" s="23"/>
      <c r="U69" s="23"/>
      <c r="Y69" s="1"/>
      <c r="Z69" s="1"/>
      <c r="AA69" s="1"/>
    </row>
    <row r="70" ht="15.75" customHeight="1">
      <c r="F70" s="23"/>
      <c r="G70" s="23"/>
      <c r="I70" s="23"/>
      <c r="K70" s="23"/>
      <c r="M70" s="23"/>
      <c r="N70" s="23"/>
      <c r="P70" s="23"/>
      <c r="Q70" s="23"/>
      <c r="R70" s="23"/>
      <c r="Y70" s="1"/>
      <c r="Z70" s="1"/>
      <c r="AA70" s="1"/>
    </row>
    <row r="71" ht="15.75" customHeight="1">
      <c r="A71" s="2" t="s">
        <v>45</v>
      </c>
      <c r="B71" s="63" t="s">
        <v>1</v>
      </c>
      <c r="C71" s="64" t="s">
        <v>46</v>
      </c>
      <c r="D71" s="64" t="s">
        <v>47</v>
      </c>
      <c r="E71" s="49" t="s">
        <v>48</v>
      </c>
      <c r="Q71" s="23"/>
      <c r="Y71" s="1"/>
      <c r="Z71" s="1"/>
      <c r="AA71" s="1"/>
    </row>
    <row r="72" ht="15.75" customHeight="1">
      <c r="B72" s="65">
        <v>600.0</v>
      </c>
      <c r="C72" s="66">
        <f t="shared" ref="C72:C82" si="22">E3/C33</f>
        <v>1.520123839</v>
      </c>
      <c r="D72" s="66">
        <f t="shared" ref="D72:D82" si="23">E3/D33</f>
        <v>0.7542242704</v>
      </c>
      <c r="Q72" s="23"/>
      <c r="Y72" s="1"/>
      <c r="Z72" s="1"/>
      <c r="AA72" s="1"/>
    </row>
    <row r="73" ht="15.75" customHeight="1">
      <c r="B73" s="65">
        <v>1000.0</v>
      </c>
      <c r="C73" s="66">
        <f t="shared" si="22"/>
        <v>1.893739703</v>
      </c>
      <c r="D73" s="66">
        <f t="shared" si="23"/>
        <v>1.088026503</v>
      </c>
      <c r="Q73" s="23"/>
      <c r="Y73" s="1"/>
      <c r="Z73" s="1"/>
      <c r="AA73" s="1"/>
    </row>
    <row r="74" ht="15.75" customHeight="1">
      <c r="B74" s="65">
        <v>1400.0</v>
      </c>
      <c r="C74" s="66">
        <f t="shared" si="22"/>
        <v>2.350877193</v>
      </c>
      <c r="D74" s="66">
        <f t="shared" si="23"/>
        <v>1.166557162</v>
      </c>
      <c r="Q74" s="23"/>
      <c r="Y74" s="1"/>
      <c r="Z74" s="1"/>
      <c r="AA74" s="1"/>
    </row>
    <row r="75" ht="15.75" customHeight="1">
      <c r="B75" s="65">
        <v>1800.0</v>
      </c>
      <c r="C75" s="66">
        <f t="shared" si="22"/>
        <v>2.185503356</v>
      </c>
      <c r="D75" s="66">
        <f t="shared" si="23"/>
        <v>1.334043425</v>
      </c>
      <c r="Y75" s="1"/>
      <c r="Z75" s="1"/>
      <c r="AA75" s="1"/>
    </row>
    <row r="76" ht="15.75" customHeight="1">
      <c r="B76" s="65">
        <v>2200.0</v>
      </c>
      <c r="C76" s="66">
        <f t="shared" si="22"/>
        <v>1.604740904</v>
      </c>
      <c r="D76" s="66">
        <f t="shared" si="23"/>
        <v>1.07241097</v>
      </c>
      <c r="Y76" s="1"/>
      <c r="Z76" s="1"/>
      <c r="AA76" s="1"/>
    </row>
    <row r="77" ht="15.75" customHeight="1">
      <c r="B77" s="65">
        <v>2600.0</v>
      </c>
      <c r="C77" s="66">
        <f t="shared" si="22"/>
        <v>2.028372792</v>
      </c>
      <c r="D77" s="66">
        <f t="shared" si="23"/>
        <v>1.332757184</v>
      </c>
      <c r="Y77" s="1"/>
      <c r="Z77" s="1"/>
      <c r="AA77" s="1"/>
    </row>
    <row r="78" ht="15.75" customHeight="1">
      <c r="B78" s="65">
        <v>3000.0</v>
      </c>
      <c r="C78" s="66">
        <f t="shared" si="22"/>
        <v>1.855435273</v>
      </c>
      <c r="D78" s="66">
        <f t="shared" si="23"/>
        <v>1.64981325</v>
      </c>
      <c r="Y78" s="1"/>
      <c r="Z78" s="1"/>
      <c r="AA78" s="1"/>
    </row>
    <row r="79" ht="15.75" customHeight="1">
      <c r="B79" s="65">
        <v>4096.0</v>
      </c>
      <c r="C79" s="66">
        <f t="shared" si="22"/>
        <v>2.079067132</v>
      </c>
      <c r="D79" s="66">
        <f t="shared" si="23"/>
        <v>1.583634818</v>
      </c>
      <c r="Y79" s="1"/>
      <c r="Z79" s="1"/>
      <c r="AA79" s="1"/>
    </row>
    <row r="80" ht="15.75" customHeight="1">
      <c r="B80" s="65">
        <v>6144.0</v>
      </c>
      <c r="C80" s="66">
        <f t="shared" si="22"/>
        <v>1.624263333</v>
      </c>
      <c r="D80" s="66">
        <f t="shared" si="23"/>
        <v>1.36923137</v>
      </c>
      <c r="Y80" s="1"/>
      <c r="Z80" s="1"/>
      <c r="AA80" s="1"/>
    </row>
    <row r="81" ht="15.75" customHeight="1">
      <c r="B81" s="65">
        <v>8192.0</v>
      </c>
      <c r="C81" s="66">
        <f t="shared" si="22"/>
        <v>1.906620308</v>
      </c>
      <c r="D81" s="66">
        <f t="shared" si="23"/>
        <v>1.482256045</v>
      </c>
      <c r="Y81" s="1"/>
      <c r="Z81" s="1"/>
      <c r="AA81" s="1"/>
    </row>
    <row r="82" ht="15.75" customHeight="1">
      <c r="B82" s="65">
        <v>10240.0</v>
      </c>
      <c r="C82" s="66">
        <f t="shared" si="22"/>
        <v>1.752986048</v>
      </c>
      <c r="D82" s="66">
        <f t="shared" si="23"/>
        <v>1.144966966</v>
      </c>
      <c r="Y82" s="1"/>
      <c r="Z82" s="1"/>
      <c r="AA82" s="1"/>
    </row>
    <row r="83" ht="15.75" customHeight="1">
      <c r="Y83" s="1"/>
      <c r="Z83" s="1"/>
      <c r="AA83" s="1"/>
    </row>
    <row r="84" ht="15.75" customHeight="1">
      <c r="Y84" s="1"/>
      <c r="Z84" s="1"/>
      <c r="AA84" s="1"/>
    </row>
    <row r="85" ht="15.75" customHeight="1">
      <c r="Y85" s="1"/>
      <c r="Z85" s="1"/>
      <c r="AA85" s="1"/>
    </row>
    <row r="86" ht="15.75" customHeight="1">
      <c r="A86" s="2" t="s">
        <v>49</v>
      </c>
      <c r="B86" s="63" t="s">
        <v>1</v>
      </c>
      <c r="C86" s="64" t="s">
        <v>50</v>
      </c>
      <c r="D86" s="64" t="s">
        <v>51</v>
      </c>
      <c r="E86" s="67" t="s">
        <v>52</v>
      </c>
      <c r="Y86" s="1"/>
      <c r="Z86" s="1"/>
      <c r="AA86" s="1"/>
    </row>
    <row r="87" ht="15.75" customHeight="1">
      <c r="B87" s="65">
        <v>600.0</v>
      </c>
      <c r="C87" s="66">
        <f t="shared" ref="C87:D87" si="24">(C72/4)*100</f>
        <v>38.00309598</v>
      </c>
      <c r="D87" s="66">
        <f t="shared" si="24"/>
        <v>18.85560676</v>
      </c>
      <c r="E87" s="68" t="s">
        <v>53</v>
      </c>
      <c r="Y87" s="1"/>
      <c r="Z87" s="1"/>
      <c r="AA87" s="1"/>
    </row>
    <row r="88" ht="15.75" customHeight="1">
      <c r="B88" s="65">
        <v>1000.0</v>
      </c>
      <c r="C88" s="66">
        <f t="shared" ref="C88:D88" si="25">(C73/4)*100</f>
        <v>47.34349259</v>
      </c>
      <c r="D88" s="66">
        <f t="shared" si="25"/>
        <v>27.20066257</v>
      </c>
      <c r="Y88" s="1"/>
      <c r="Z88" s="1"/>
      <c r="AA88" s="1"/>
    </row>
    <row r="89" ht="15.75" customHeight="1">
      <c r="B89" s="65">
        <v>1400.0</v>
      </c>
      <c r="C89" s="66">
        <f t="shared" ref="C89:D89" si="26">(C74/4)*100</f>
        <v>58.77192982</v>
      </c>
      <c r="D89" s="66">
        <f t="shared" si="26"/>
        <v>29.16392904</v>
      </c>
      <c r="Y89" s="1"/>
      <c r="Z89" s="1"/>
      <c r="AA89" s="1"/>
    </row>
    <row r="90" ht="15.75" customHeight="1">
      <c r="B90" s="65">
        <v>1800.0</v>
      </c>
      <c r="C90" s="66">
        <f t="shared" ref="C90:D90" si="27">(C75/4)*100</f>
        <v>54.63758389</v>
      </c>
      <c r="D90" s="66">
        <f t="shared" si="27"/>
        <v>33.35108562</v>
      </c>
      <c r="Y90" s="1"/>
      <c r="Z90" s="1"/>
      <c r="AA90" s="1"/>
    </row>
    <row r="91" ht="15.75" customHeight="1">
      <c r="B91" s="65">
        <v>2200.0</v>
      </c>
      <c r="C91" s="66">
        <f t="shared" ref="C91:D91" si="28">(C76/4)*100</f>
        <v>40.1185226</v>
      </c>
      <c r="D91" s="66">
        <f t="shared" si="28"/>
        <v>26.81027425</v>
      </c>
      <c r="Y91" s="1"/>
      <c r="Z91" s="1"/>
      <c r="AA91" s="1"/>
    </row>
    <row r="92" ht="15.75" customHeight="1">
      <c r="B92" s="65">
        <v>2600.0</v>
      </c>
      <c r="C92" s="66">
        <f t="shared" ref="C92:D92" si="29">(C77/4)*100</f>
        <v>50.7093198</v>
      </c>
      <c r="D92" s="66">
        <f t="shared" si="29"/>
        <v>33.3189296</v>
      </c>
      <c r="Y92" s="1"/>
      <c r="Z92" s="1"/>
      <c r="AA92" s="1"/>
    </row>
    <row r="93" ht="15.75" customHeight="1">
      <c r="B93" s="65">
        <v>3000.0</v>
      </c>
      <c r="C93" s="66">
        <f t="shared" ref="C93:D93" si="30">(C78/4)*100</f>
        <v>46.38588182</v>
      </c>
      <c r="D93" s="66">
        <f t="shared" si="30"/>
        <v>41.24533126</v>
      </c>
      <c r="Y93" s="1"/>
      <c r="Z93" s="1"/>
      <c r="AA93" s="1"/>
    </row>
    <row r="94" ht="15.75" customHeight="1">
      <c r="B94" s="65">
        <v>4096.0</v>
      </c>
      <c r="C94" s="66">
        <f t="shared" ref="C94:D94" si="31">(C79/4)*100</f>
        <v>51.97667829</v>
      </c>
      <c r="D94" s="66">
        <f t="shared" si="31"/>
        <v>39.59087046</v>
      </c>
      <c r="Y94" s="1"/>
      <c r="Z94" s="1"/>
      <c r="AA94" s="1"/>
    </row>
    <row r="95" ht="15.75" customHeight="1">
      <c r="B95" s="65">
        <v>6144.0</v>
      </c>
      <c r="C95" s="66">
        <f t="shared" ref="C95:D95" si="32">(C80/4)*100</f>
        <v>40.60658333</v>
      </c>
      <c r="D95" s="66">
        <f t="shared" si="32"/>
        <v>34.23078426</v>
      </c>
      <c r="Y95" s="1"/>
      <c r="Z95" s="1"/>
      <c r="AA95" s="1"/>
    </row>
    <row r="96" ht="15.75" customHeight="1">
      <c r="B96" s="65">
        <v>8192.0</v>
      </c>
      <c r="C96" s="66">
        <f t="shared" ref="C96:D96" si="33">(C81/4)*100</f>
        <v>47.66550771</v>
      </c>
      <c r="D96" s="66">
        <f t="shared" si="33"/>
        <v>37.05640114</v>
      </c>
      <c r="Y96" s="1"/>
      <c r="Z96" s="1"/>
      <c r="AA96" s="1"/>
    </row>
    <row r="97" ht="15.75" customHeight="1">
      <c r="B97" s="65">
        <v>10240.0</v>
      </c>
      <c r="C97" s="66">
        <f t="shared" ref="C97:D97" si="34">(C82/4)*100</f>
        <v>43.82465119</v>
      </c>
      <c r="D97" s="66">
        <f t="shared" si="34"/>
        <v>28.62417415</v>
      </c>
      <c r="Y97" s="1"/>
      <c r="Z97" s="1"/>
      <c r="AA97" s="1"/>
    </row>
    <row r="98" ht="15.75" customHeight="1">
      <c r="Y98" s="1"/>
      <c r="Z98" s="1"/>
      <c r="AA98" s="1"/>
    </row>
    <row r="99" ht="15.75" customHeight="1">
      <c r="Y99" s="1"/>
      <c r="Z99" s="1"/>
      <c r="AA99" s="1"/>
    </row>
    <row r="100" ht="15.75" customHeight="1">
      <c r="Y100" s="1"/>
      <c r="Z100" s="1"/>
      <c r="AA100" s="1"/>
    </row>
    <row r="101" ht="15.75" customHeight="1">
      <c r="A101" s="49" t="s">
        <v>54</v>
      </c>
      <c r="B101" s="63" t="s">
        <v>1</v>
      </c>
      <c r="C101" s="64" t="s">
        <v>55</v>
      </c>
      <c r="D101" s="64" t="s">
        <v>56</v>
      </c>
      <c r="E101" s="49" t="s">
        <v>57</v>
      </c>
      <c r="Y101" s="1"/>
      <c r="Z101" s="1"/>
      <c r="AA101" s="1"/>
    </row>
    <row r="102" ht="15.75" customHeight="1">
      <c r="B102" s="65">
        <v>600.0</v>
      </c>
      <c r="C102" s="69">
        <f t="shared" ref="C102:C112" si="35"> (2*(B102^3))/(C33*10^6)</f>
        <v>4012.383901</v>
      </c>
      <c r="D102" s="69">
        <f t="shared" ref="D102:D112" si="36"> (2*(B102^3))/(D33*10^6)</f>
        <v>1990.78341</v>
      </c>
      <c r="E102" s="49" t="s">
        <v>58</v>
      </c>
      <c r="Y102" s="1"/>
      <c r="Z102" s="1"/>
      <c r="AA102" s="1"/>
    </row>
    <row r="103" ht="15.75" customHeight="1">
      <c r="B103" s="65">
        <v>1000.0</v>
      </c>
      <c r="C103" s="69">
        <f t="shared" si="35"/>
        <v>4942.339374</v>
      </c>
      <c r="D103" s="69">
        <f t="shared" si="36"/>
        <v>2839.5646</v>
      </c>
      <c r="Y103" s="1"/>
      <c r="Z103" s="1"/>
      <c r="AA103" s="1"/>
    </row>
    <row r="104" ht="15.75" customHeight="1">
      <c r="B104" s="65">
        <v>1400.0</v>
      </c>
      <c r="C104" s="69">
        <f t="shared" si="35"/>
        <v>5449.851043</v>
      </c>
      <c r="D104" s="69">
        <f t="shared" si="36"/>
        <v>2704.336399</v>
      </c>
      <c r="Y104" s="1"/>
      <c r="Z104" s="1"/>
      <c r="AA104" s="1"/>
    </row>
    <row r="105" ht="15.75" customHeight="1">
      <c r="B105" s="65">
        <v>1800.0</v>
      </c>
      <c r="C105" s="69">
        <f t="shared" si="35"/>
        <v>4696.912752</v>
      </c>
      <c r="D105" s="69">
        <f t="shared" si="36"/>
        <v>2867.021712</v>
      </c>
      <c r="Y105" s="1"/>
      <c r="Z105" s="1"/>
      <c r="AA105" s="1"/>
    </row>
    <row r="106" ht="15.75" customHeight="1">
      <c r="B106" s="65">
        <v>2200.0</v>
      </c>
      <c r="C106" s="69">
        <f t="shared" si="35"/>
        <v>3913.267181</v>
      </c>
      <c r="D106" s="69">
        <f t="shared" si="36"/>
        <v>2615.145313</v>
      </c>
      <c r="Y106" s="1"/>
      <c r="Z106" s="1"/>
      <c r="AA106" s="1"/>
    </row>
    <row r="107" ht="15.75" customHeight="1">
      <c r="B107" s="65">
        <v>2600.0</v>
      </c>
      <c r="C107" s="69">
        <f t="shared" si="35"/>
        <v>4953.776776</v>
      </c>
      <c r="D107" s="69">
        <f t="shared" si="36"/>
        <v>3254.915275</v>
      </c>
      <c r="Y107" s="1"/>
      <c r="Z107" s="1"/>
      <c r="AA107" s="1"/>
    </row>
    <row r="108" ht="15.75" customHeight="1">
      <c r="B108" s="65">
        <v>3000.0</v>
      </c>
      <c r="C108" s="69">
        <f t="shared" si="35"/>
        <v>4566.982409</v>
      </c>
      <c r="D108" s="69">
        <f t="shared" si="36"/>
        <v>4060.862808</v>
      </c>
      <c r="Y108" s="1"/>
      <c r="Z108" s="1"/>
      <c r="AA108" s="1"/>
    </row>
    <row r="109" ht="15.75" customHeight="1">
      <c r="B109" s="65">
        <v>4096.0</v>
      </c>
      <c r="C109" s="69">
        <f t="shared" si="35"/>
        <v>4817.601818</v>
      </c>
      <c r="D109" s="69">
        <f t="shared" si="36"/>
        <v>3669.58905</v>
      </c>
      <c r="Y109" s="1"/>
      <c r="Z109" s="1"/>
      <c r="AA109" s="1"/>
    </row>
    <row r="110" ht="15.75" customHeight="1">
      <c r="B110" s="65">
        <v>6144.0</v>
      </c>
      <c r="C110" s="69">
        <f t="shared" si="35"/>
        <v>4030.958196</v>
      </c>
      <c r="D110" s="69">
        <f t="shared" si="36"/>
        <v>3398.041624</v>
      </c>
      <c r="Y110" s="1"/>
      <c r="Z110" s="1"/>
      <c r="AA110" s="1"/>
    </row>
    <row r="111" ht="15.75" customHeight="1">
      <c r="B111" s="65">
        <v>8192.0</v>
      </c>
      <c r="C111" s="69">
        <f t="shared" si="35"/>
        <v>4314.737558</v>
      </c>
      <c r="D111" s="69">
        <f t="shared" si="36"/>
        <v>3354.388811</v>
      </c>
      <c r="Y111" s="1"/>
      <c r="Z111" s="1"/>
      <c r="AA111" s="1"/>
    </row>
    <row r="112" ht="15.75" customHeight="1">
      <c r="B112" s="65">
        <v>10240.0</v>
      </c>
      <c r="C112" s="69">
        <f t="shared" si="35"/>
        <v>4266.696167</v>
      </c>
      <c r="D112" s="69">
        <f t="shared" si="36"/>
        <v>2786.802651</v>
      </c>
      <c r="Y112" s="1"/>
      <c r="Z112" s="1"/>
      <c r="AA112" s="1"/>
    </row>
    <row r="113" ht="15.75" customHeight="1">
      <c r="Y113" s="1"/>
      <c r="Z113" s="1"/>
      <c r="AA113" s="1"/>
    </row>
    <row r="114" ht="15.75" customHeight="1">
      <c r="Y114" s="1"/>
      <c r="Z114" s="1"/>
      <c r="AA114" s="1"/>
    </row>
    <row r="115" ht="15.75" customHeight="1">
      <c r="Y115" s="1"/>
      <c r="Z115" s="1"/>
      <c r="AA115" s="1"/>
    </row>
    <row r="116" ht="15.75" customHeight="1">
      <c r="Y116" s="1"/>
      <c r="Z116" s="1"/>
      <c r="AA116" s="1"/>
    </row>
    <row r="117" ht="15.75" customHeight="1">
      <c r="Y117" s="1"/>
      <c r="Z117" s="1"/>
      <c r="AA117" s="1"/>
    </row>
    <row r="118" ht="15.75" customHeight="1">
      <c r="Y118" s="1"/>
      <c r="Z118" s="1"/>
      <c r="AA118" s="1"/>
    </row>
    <row r="119" ht="15.75" customHeight="1">
      <c r="Y119" s="1"/>
      <c r="Z119" s="1"/>
      <c r="AA119" s="1"/>
    </row>
    <row r="120" ht="15.75" customHeight="1">
      <c r="Y120" s="1"/>
      <c r="Z120" s="1"/>
      <c r="AA120" s="1"/>
    </row>
    <row r="121" ht="15.75" customHeight="1">
      <c r="Y121" s="1"/>
      <c r="Z121" s="1"/>
      <c r="AA121" s="1"/>
    </row>
    <row r="122" ht="15.75" customHeight="1">
      <c r="Y122" s="1"/>
      <c r="Z122" s="1"/>
      <c r="AA122" s="1"/>
    </row>
    <row r="123" ht="15.75" customHeight="1">
      <c r="Y123" s="1"/>
      <c r="Z123" s="1"/>
      <c r="AA123" s="1"/>
    </row>
    <row r="124" ht="15.75" customHeight="1">
      <c r="Y124" s="1"/>
      <c r="Z124" s="1"/>
      <c r="AA124" s="1"/>
    </row>
    <row r="125" ht="15.75" customHeight="1">
      <c r="Y125" s="1"/>
      <c r="Z125" s="1"/>
      <c r="AA125" s="1"/>
    </row>
    <row r="126" ht="15.75" customHeight="1">
      <c r="Y126" s="1"/>
      <c r="Z126" s="1"/>
      <c r="AA126" s="1"/>
    </row>
    <row r="127" ht="15.75" customHeight="1">
      <c r="Y127" s="1"/>
      <c r="Z127" s="1"/>
      <c r="AA127" s="1"/>
    </row>
    <row r="128" ht="15.75" customHeight="1">
      <c r="Y128" s="1"/>
      <c r="Z128" s="1"/>
      <c r="AA128" s="1"/>
    </row>
    <row r="129" ht="15.75" customHeight="1">
      <c r="Y129" s="1"/>
      <c r="Z129" s="1"/>
      <c r="AA129" s="1"/>
    </row>
    <row r="130" ht="15.75" customHeight="1">
      <c r="Y130" s="1"/>
      <c r="Z130" s="1"/>
      <c r="AA130" s="1"/>
    </row>
    <row r="131" ht="15.75" customHeight="1">
      <c r="Y131" s="1"/>
      <c r="Z131" s="1"/>
      <c r="AA131" s="1"/>
    </row>
    <row r="132" ht="15.75" customHeight="1">
      <c r="Y132" s="1"/>
      <c r="Z132" s="1"/>
      <c r="AA132" s="1"/>
    </row>
    <row r="133" ht="15.75" customHeight="1">
      <c r="Y133" s="1"/>
      <c r="Z133" s="1"/>
      <c r="AA133" s="1"/>
    </row>
    <row r="134" ht="15.75" customHeight="1">
      <c r="Y134" s="1"/>
      <c r="Z134" s="1"/>
      <c r="AA134" s="1"/>
    </row>
    <row r="135" ht="15.75" customHeight="1">
      <c r="Y135" s="1"/>
      <c r="Z135" s="1"/>
      <c r="AA135" s="1"/>
    </row>
    <row r="136" ht="15.75" customHeight="1">
      <c r="Y136" s="1"/>
      <c r="Z136" s="1"/>
      <c r="AA136" s="1"/>
    </row>
    <row r="137" ht="15.75" customHeight="1">
      <c r="Y137" s="1"/>
      <c r="Z137" s="1"/>
      <c r="AA137" s="1"/>
    </row>
    <row r="138" ht="15.75" customHeight="1">
      <c r="Y138" s="1"/>
      <c r="Z138" s="1"/>
      <c r="AA138" s="1"/>
    </row>
    <row r="139" ht="15.75" customHeight="1">
      <c r="Y139" s="1"/>
      <c r="Z139" s="1"/>
      <c r="AA139" s="1"/>
    </row>
    <row r="140" ht="15.75" customHeight="1">
      <c r="Y140" s="1"/>
      <c r="Z140" s="1"/>
      <c r="AA140" s="1"/>
    </row>
    <row r="141" ht="15.75" customHeight="1">
      <c r="Y141" s="1"/>
      <c r="Z141" s="1"/>
      <c r="AA141" s="1"/>
    </row>
    <row r="142" ht="15.75" customHeight="1">
      <c r="Y142" s="1"/>
      <c r="Z142" s="1"/>
      <c r="AA142" s="1"/>
    </row>
    <row r="143" ht="15.75" customHeight="1">
      <c r="Y143" s="1"/>
      <c r="Z143" s="1"/>
      <c r="AA143" s="1"/>
    </row>
    <row r="144" ht="15.75" customHeight="1">
      <c r="Y144" s="1"/>
      <c r="Z144" s="1"/>
      <c r="AA144" s="1"/>
    </row>
    <row r="145" ht="15.75" customHeight="1">
      <c r="Y145" s="1"/>
      <c r="Z145" s="1"/>
      <c r="AA145" s="1"/>
    </row>
    <row r="146" ht="15.75" customHeight="1">
      <c r="Y146" s="1"/>
      <c r="Z146" s="1"/>
      <c r="AA146" s="1"/>
    </row>
    <row r="147" ht="15.75" customHeight="1">
      <c r="Y147" s="1"/>
      <c r="Z147" s="1"/>
      <c r="AA147" s="1"/>
    </row>
    <row r="148" ht="15.75" customHeight="1">
      <c r="Y148" s="1"/>
      <c r="Z148" s="1"/>
      <c r="AA148" s="1"/>
    </row>
    <row r="149" ht="15.75" customHeight="1">
      <c r="Y149" s="1"/>
      <c r="Z149" s="1"/>
      <c r="AA149" s="1"/>
    </row>
    <row r="150" ht="15.75" customHeight="1">
      <c r="Y150" s="1"/>
      <c r="Z150" s="1"/>
      <c r="AA150" s="1"/>
    </row>
    <row r="151" ht="15.75" customHeight="1">
      <c r="Y151" s="1"/>
      <c r="Z151" s="1"/>
      <c r="AA151" s="1"/>
    </row>
    <row r="152" ht="15.75" customHeight="1">
      <c r="Y152" s="1"/>
      <c r="Z152" s="1"/>
      <c r="AA152" s="1"/>
    </row>
    <row r="153" ht="15.75" customHeight="1">
      <c r="Y153" s="1"/>
      <c r="Z153" s="1"/>
      <c r="AA153" s="1"/>
    </row>
    <row r="154" ht="15.75" customHeight="1">
      <c r="Y154" s="1"/>
      <c r="Z154" s="1"/>
      <c r="AA154" s="1"/>
    </row>
    <row r="155" ht="15.75" customHeight="1">
      <c r="Y155" s="1"/>
      <c r="Z155" s="1"/>
      <c r="AA155" s="1"/>
    </row>
    <row r="156" ht="15.75" customHeight="1">
      <c r="Y156" s="1"/>
      <c r="Z156" s="1"/>
      <c r="AA156" s="1"/>
    </row>
    <row r="157" ht="15.75" customHeight="1">
      <c r="Y157" s="1"/>
      <c r="Z157" s="1"/>
      <c r="AA157" s="1"/>
    </row>
    <row r="158" ht="15.75" customHeight="1">
      <c r="Y158" s="1"/>
      <c r="Z158" s="1"/>
      <c r="AA158" s="1"/>
    </row>
    <row r="159" ht="15.75" customHeight="1">
      <c r="Y159" s="1"/>
      <c r="Z159" s="1"/>
      <c r="AA159" s="1"/>
    </row>
    <row r="160" ht="15.75" customHeight="1">
      <c r="Y160" s="1"/>
      <c r="Z160" s="1"/>
      <c r="AA160" s="1"/>
    </row>
    <row r="161" ht="15.75" customHeight="1">
      <c r="Y161" s="1"/>
      <c r="Z161" s="1"/>
      <c r="AA161" s="1"/>
    </row>
    <row r="162" ht="15.75" customHeight="1">
      <c r="Y162" s="1"/>
      <c r="Z162" s="1"/>
      <c r="AA162" s="1"/>
    </row>
    <row r="163" ht="15.75" customHeight="1">
      <c r="Y163" s="1"/>
      <c r="Z163" s="1"/>
      <c r="AA163" s="1"/>
    </row>
    <row r="164" ht="15.75" customHeight="1">
      <c r="Y164" s="1"/>
      <c r="Z164" s="1"/>
      <c r="AA164" s="1"/>
    </row>
    <row r="165" ht="15.75" customHeight="1">
      <c r="Y165" s="1"/>
      <c r="Z165" s="1"/>
      <c r="AA165" s="1"/>
    </row>
    <row r="166" ht="15.75" customHeight="1">
      <c r="Y166" s="1"/>
      <c r="Z166" s="1"/>
      <c r="AA166" s="1"/>
    </row>
    <row r="167" ht="15.75" customHeight="1">
      <c r="Y167" s="1"/>
      <c r="Z167" s="1"/>
      <c r="AA167" s="1"/>
    </row>
    <row r="168" ht="15.75" customHeight="1">
      <c r="Y168" s="1"/>
      <c r="Z168" s="1"/>
      <c r="AA168" s="1"/>
    </row>
    <row r="169" ht="15.75" customHeight="1">
      <c r="Y169" s="1"/>
      <c r="Z169" s="1"/>
      <c r="AA169" s="1"/>
    </row>
    <row r="170" ht="15.75" customHeight="1">
      <c r="Y170" s="1"/>
      <c r="Z170" s="1"/>
      <c r="AA170" s="1"/>
    </row>
    <row r="171" ht="15.75" customHeight="1">
      <c r="Y171" s="1"/>
      <c r="Z171" s="1"/>
      <c r="AA171" s="1"/>
    </row>
    <row r="172" ht="15.75" customHeight="1">
      <c r="Y172" s="1"/>
      <c r="Z172" s="1"/>
      <c r="AA172" s="1"/>
    </row>
    <row r="173" ht="15.75" customHeight="1">
      <c r="Y173" s="1"/>
      <c r="Z173" s="1"/>
      <c r="AA173" s="1"/>
    </row>
    <row r="174" ht="15.75" customHeight="1">
      <c r="Y174" s="1"/>
      <c r="Z174" s="1"/>
      <c r="AA174" s="1"/>
    </row>
    <row r="175" ht="15.75" customHeight="1">
      <c r="Y175" s="1"/>
      <c r="Z175" s="1"/>
      <c r="AA175" s="1"/>
    </row>
    <row r="176" ht="15.75" customHeight="1">
      <c r="Y176" s="1"/>
      <c r="Z176" s="1"/>
      <c r="AA176" s="1"/>
    </row>
    <row r="177" ht="15.75" customHeight="1">
      <c r="Y177" s="1"/>
      <c r="Z177" s="1"/>
      <c r="AA177" s="1"/>
    </row>
    <row r="178" ht="15.75" customHeight="1">
      <c r="Y178" s="1"/>
      <c r="Z178" s="1"/>
      <c r="AA178" s="1"/>
    </row>
    <row r="179" ht="15.75" customHeight="1">
      <c r="Y179" s="1"/>
      <c r="Z179" s="1"/>
      <c r="AA179" s="1"/>
    </row>
    <row r="180" ht="15.75" customHeight="1">
      <c r="Y180" s="1"/>
      <c r="Z180" s="1"/>
      <c r="AA180" s="1"/>
    </row>
    <row r="181" ht="15.75" customHeight="1">
      <c r="Y181" s="1"/>
      <c r="Z181" s="1"/>
      <c r="AA181" s="1"/>
    </row>
    <row r="182" ht="15.75" customHeight="1">
      <c r="Y182" s="1"/>
      <c r="Z182" s="1"/>
      <c r="AA182" s="1"/>
    </row>
    <row r="183" ht="15.75" customHeight="1">
      <c r="Y183" s="1"/>
      <c r="Z183" s="1"/>
      <c r="AA183" s="1"/>
    </row>
    <row r="184" ht="15.75" customHeight="1">
      <c r="Y184" s="1"/>
      <c r="Z184" s="1"/>
      <c r="AA184" s="1"/>
    </row>
    <row r="185" ht="15.75" customHeight="1">
      <c r="Y185" s="1"/>
      <c r="Z185" s="1"/>
      <c r="AA185" s="1"/>
    </row>
    <row r="186" ht="15.75" customHeight="1">
      <c r="Y186" s="1"/>
      <c r="Z186" s="1"/>
      <c r="AA186" s="1"/>
    </row>
    <row r="187" ht="15.75" customHeight="1">
      <c r="Y187" s="1"/>
      <c r="Z187" s="1"/>
      <c r="AA187" s="1"/>
    </row>
    <row r="188" ht="15.75" customHeight="1">
      <c r="Y188" s="1"/>
      <c r="Z188" s="1"/>
      <c r="AA188" s="1"/>
    </row>
    <row r="189" ht="15.75" customHeight="1">
      <c r="Y189" s="1"/>
      <c r="Z189" s="1"/>
      <c r="AA189" s="1"/>
    </row>
    <row r="190" ht="15.75" customHeight="1">
      <c r="Y190" s="1"/>
      <c r="Z190" s="1"/>
      <c r="AA190" s="1"/>
    </row>
    <row r="191" ht="15.75" customHeight="1">
      <c r="Y191" s="1"/>
      <c r="Z191" s="1"/>
      <c r="AA191" s="1"/>
    </row>
    <row r="192" ht="15.75" customHeight="1">
      <c r="Y192" s="1"/>
      <c r="Z192" s="1"/>
      <c r="AA192" s="1"/>
    </row>
    <row r="193" ht="15.75" customHeight="1">
      <c r="Y193" s="1"/>
      <c r="Z193" s="1"/>
      <c r="AA193" s="1"/>
    </row>
    <row r="194" ht="15.75" customHeight="1">
      <c r="Y194" s="1"/>
      <c r="Z194" s="1"/>
      <c r="AA194" s="1"/>
    </row>
    <row r="195" ht="15.75" customHeight="1">
      <c r="Y195" s="1"/>
      <c r="Z195" s="1"/>
      <c r="AA195" s="1"/>
    </row>
    <row r="196" ht="15.75" customHeight="1">
      <c r="F196" s="23"/>
      <c r="G196" s="23"/>
      <c r="Y196" s="1"/>
      <c r="Z196" s="1"/>
      <c r="AA196" s="1"/>
    </row>
    <row r="197" ht="15.75" customHeight="1">
      <c r="Y197" s="1"/>
      <c r="Z197" s="1"/>
      <c r="AA197" s="1"/>
    </row>
    <row r="198" ht="15.75" customHeight="1">
      <c r="Y198" s="1"/>
      <c r="Z198" s="1"/>
      <c r="AA198" s="1"/>
    </row>
    <row r="199" ht="15.75" customHeight="1">
      <c r="Y199" s="1"/>
      <c r="Z199" s="1"/>
      <c r="AA199" s="1"/>
    </row>
    <row r="200" ht="15.75" customHeight="1">
      <c r="Y200" s="1"/>
      <c r="Z200" s="1"/>
      <c r="AA200" s="1"/>
    </row>
    <row r="201" ht="15.75" customHeight="1">
      <c r="Y201" s="1"/>
      <c r="Z201" s="1"/>
      <c r="AA201" s="1"/>
    </row>
    <row r="202" ht="15.75" customHeight="1">
      <c r="Y202" s="1"/>
      <c r="Z202" s="1"/>
      <c r="AA202" s="1"/>
    </row>
    <row r="203" ht="15.75" customHeight="1">
      <c r="Y203" s="1"/>
      <c r="Z203" s="1"/>
      <c r="AA203" s="1"/>
    </row>
    <row r="204" ht="15.75" customHeight="1">
      <c r="Y204" s="1"/>
      <c r="Z204" s="1"/>
      <c r="AA204" s="1"/>
    </row>
    <row r="205" ht="15.75" customHeight="1">
      <c r="Y205" s="1"/>
      <c r="Z205" s="1"/>
      <c r="AA205" s="1"/>
    </row>
    <row r="206" ht="15.75" customHeight="1">
      <c r="Y206" s="1"/>
      <c r="Z206" s="1"/>
      <c r="AA206" s="1"/>
    </row>
    <row r="207" ht="15.75" customHeight="1">
      <c r="Y207" s="1"/>
      <c r="Z207" s="1"/>
      <c r="AA207" s="1"/>
    </row>
    <row r="208" ht="15.75" customHeight="1">
      <c r="Y208" s="1"/>
      <c r="Z208" s="1"/>
      <c r="AA208" s="1"/>
    </row>
    <row r="209" ht="15.75" customHeight="1">
      <c r="Y209" s="1"/>
      <c r="Z209" s="1"/>
      <c r="AA209" s="1"/>
    </row>
    <row r="210" ht="15.75" customHeight="1">
      <c r="Y210" s="1"/>
      <c r="Z210" s="1"/>
      <c r="AA210" s="1"/>
    </row>
    <row r="211" ht="15.75" customHeight="1">
      <c r="Y211" s="1"/>
      <c r="Z211" s="1"/>
      <c r="AA211" s="1"/>
    </row>
    <row r="212" ht="15.75" customHeight="1">
      <c r="Y212" s="1"/>
      <c r="Z212" s="1"/>
      <c r="AA212" s="1"/>
    </row>
    <row r="213" ht="15.75" customHeight="1">
      <c r="Y213" s="1"/>
      <c r="Z213" s="1"/>
      <c r="AA213" s="1"/>
    </row>
    <row r="214" ht="15.75" customHeight="1">
      <c r="Y214" s="1"/>
      <c r="Z214" s="1"/>
      <c r="AA214" s="1"/>
    </row>
    <row r="215" ht="15.75" customHeight="1">
      <c r="Y215" s="1"/>
      <c r="Z215" s="1"/>
      <c r="AA215" s="1"/>
    </row>
    <row r="216" ht="15.75" customHeight="1">
      <c r="Y216" s="1"/>
      <c r="Z216" s="1"/>
      <c r="AA216" s="1"/>
    </row>
    <row r="217" ht="15.75" customHeight="1">
      <c r="Y217" s="1"/>
      <c r="Z217" s="1"/>
      <c r="AA217" s="1"/>
    </row>
    <row r="218" ht="15.75" customHeight="1">
      <c r="Y218" s="1"/>
      <c r="Z218" s="1"/>
      <c r="AA218" s="1"/>
    </row>
    <row r="219" ht="15.75" customHeight="1">
      <c r="Y219" s="1"/>
      <c r="Z219" s="1"/>
      <c r="AA219" s="1"/>
    </row>
    <row r="220" ht="15.75" customHeight="1">
      <c r="Y220" s="1"/>
      <c r="Z220" s="1"/>
      <c r="AA220" s="1"/>
    </row>
    <row r="221" ht="15.75" customHeight="1">
      <c r="Y221" s="1"/>
      <c r="Z221" s="1"/>
      <c r="AA221" s="1"/>
    </row>
    <row r="222" ht="15.75" customHeight="1">
      <c r="Y222" s="1"/>
      <c r="Z222" s="1"/>
      <c r="AA222" s="1"/>
    </row>
    <row r="223" ht="15.75" customHeight="1">
      <c r="Y223" s="1"/>
      <c r="Z223" s="1"/>
      <c r="AA223" s="1"/>
    </row>
    <row r="224" ht="15.75" customHeight="1">
      <c r="Y224" s="1"/>
      <c r="Z224" s="1"/>
      <c r="AA224" s="1"/>
    </row>
    <row r="225" ht="15.75" customHeight="1">
      <c r="Y225" s="1"/>
      <c r="Z225" s="1"/>
      <c r="AA225" s="1"/>
    </row>
    <row r="226" ht="15.75" customHeight="1">
      <c r="Y226" s="1"/>
      <c r="Z226" s="1"/>
      <c r="AA226" s="1"/>
    </row>
    <row r="227" ht="15.75" customHeight="1">
      <c r="Y227" s="1"/>
      <c r="Z227" s="1"/>
      <c r="AA227" s="1"/>
    </row>
    <row r="228" ht="15.75" customHeight="1">
      <c r="Y228" s="1"/>
      <c r="Z228" s="1"/>
      <c r="AA228" s="1"/>
    </row>
    <row r="229" ht="15.75" customHeight="1">
      <c r="Y229" s="1"/>
      <c r="Z229" s="1"/>
      <c r="AA229" s="1"/>
    </row>
    <row r="230" ht="15.75" customHeight="1">
      <c r="Y230" s="1"/>
      <c r="Z230" s="1"/>
      <c r="AA230" s="1"/>
    </row>
    <row r="231" ht="15.75" customHeight="1">
      <c r="Y231" s="1"/>
      <c r="Z231" s="1"/>
      <c r="AA231" s="1"/>
    </row>
    <row r="232" ht="15.75" customHeight="1">
      <c r="Y232" s="1"/>
      <c r="Z232" s="1"/>
      <c r="AA232" s="1"/>
    </row>
    <row r="233" ht="15.75" customHeight="1">
      <c r="Y233" s="1"/>
      <c r="Z233" s="1"/>
      <c r="AA233" s="1"/>
    </row>
    <row r="234" ht="15.75" customHeight="1">
      <c r="Y234" s="1"/>
      <c r="Z234" s="1"/>
      <c r="AA234" s="1"/>
    </row>
    <row r="235" ht="15.75" customHeight="1">
      <c r="Y235" s="1"/>
      <c r="Z235" s="1"/>
      <c r="AA235" s="1"/>
    </row>
    <row r="236" ht="15.75" customHeight="1">
      <c r="Y236" s="1"/>
      <c r="Z236" s="1"/>
      <c r="AA236" s="1"/>
    </row>
    <row r="237" ht="15.75" customHeight="1">
      <c r="Y237" s="1"/>
      <c r="Z237" s="1"/>
      <c r="AA237" s="1"/>
    </row>
    <row r="238" ht="15.75" customHeight="1">
      <c r="Y238" s="1"/>
      <c r="Z238" s="1"/>
      <c r="AA238" s="1"/>
    </row>
    <row r="239" ht="15.75" customHeight="1">
      <c r="Y239" s="1"/>
      <c r="Z239" s="1"/>
      <c r="AA239" s="1"/>
    </row>
    <row r="240" ht="15.75" customHeight="1">
      <c r="Y240" s="1"/>
      <c r="Z240" s="1"/>
      <c r="AA240" s="1"/>
    </row>
    <row r="241" ht="15.75" customHeight="1">
      <c r="Y241" s="1"/>
      <c r="Z241" s="1"/>
      <c r="AA241" s="1"/>
    </row>
    <row r="242" ht="15.75" customHeight="1">
      <c r="Y242" s="1"/>
      <c r="Z242" s="1"/>
      <c r="AA242" s="1"/>
    </row>
    <row r="243" ht="15.75" customHeight="1">
      <c r="Y243" s="1"/>
      <c r="Z243" s="1"/>
      <c r="AA243" s="1"/>
    </row>
    <row r="244" ht="15.75" customHeight="1">
      <c r="Y244" s="1"/>
      <c r="Z244" s="1"/>
      <c r="AA244" s="1"/>
    </row>
    <row r="245" ht="15.75" customHeight="1">
      <c r="Y245" s="1"/>
      <c r="Z245" s="1"/>
      <c r="AA245" s="1"/>
    </row>
    <row r="246" ht="15.75" customHeight="1">
      <c r="Y246" s="1"/>
      <c r="Z246" s="1"/>
      <c r="AA246" s="1"/>
    </row>
    <row r="247" ht="15.75" customHeight="1">
      <c r="Y247" s="1"/>
      <c r="Z247" s="1"/>
      <c r="AA247" s="1"/>
    </row>
    <row r="248" ht="15.75" customHeight="1">
      <c r="Y248" s="1"/>
      <c r="Z248" s="1"/>
      <c r="AA248" s="1"/>
    </row>
    <row r="249" ht="15.75" customHeight="1">
      <c r="Y249" s="1"/>
      <c r="Z249" s="1"/>
      <c r="AA249" s="1"/>
    </row>
    <row r="250" ht="15.75" customHeight="1">
      <c r="Y250" s="1"/>
      <c r="Z250" s="1"/>
      <c r="AA250" s="1"/>
    </row>
    <row r="251" ht="15.75" customHeight="1">
      <c r="Y251" s="1"/>
      <c r="Z251" s="1"/>
      <c r="AA251" s="1"/>
    </row>
    <row r="252" ht="15.75" customHeight="1">
      <c r="Y252" s="1"/>
      <c r="Z252" s="1"/>
      <c r="AA252" s="1"/>
    </row>
    <row r="253" ht="15.75" customHeight="1">
      <c r="Y253" s="1"/>
      <c r="Z253" s="1"/>
      <c r="AA253" s="1"/>
    </row>
    <row r="254" ht="15.75" customHeight="1">
      <c r="Y254" s="1"/>
      <c r="Z254" s="1"/>
      <c r="AA254" s="1"/>
    </row>
    <row r="255" ht="15.75" customHeight="1">
      <c r="Y255" s="1"/>
      <c r="Z255" s="1"/>
      <c r="AA255" s="1"/>
    </row>
    <row r="256" ht="15.75" customHeight="1">
      <c r="Y256" s="1"/>
      <c r="Z256" s="1"/>
      <c r="AA256" s="1"/>
    </row>
    <row r="257" ht="15.75" customHeight="1">
      <c r="Y257" s="1"/>
      <c r="Z257" s="1"/>
      <c r="AA257" s="1"/>
    </row>
    <row r="258" ht="15.75" customHeight="1">
      <c r="Y258" s="1"/>
      <c r="Z258" s="1"/>
      <c r="AA258" s="1"/>
    </row>
    <row r="259" ht="15.75" customHeight="1">
      <c r="Y259" s="1"/>
      <c r="Z259" s="1"/>
      <c r="AA259" s="1"/>
    </row>
    <row r="260" ht="15.75" customHeight="1">
      <c r="Y260" s="1"/>
      <c r="Z260" s="1"/>
      <c r="AA260" s="1"/>
    </row>
    <row r="261" ht="15.75" customHeight="1">
      <c r="Y261" s="1"/>
      <c r="Z261" s="1"/>
      <c r="AA261" s="1"/>
    </row>
    <row r="262" ht="15.75" customHeight="1">
      <c r="Y262" s="1"/>
      <c r="Z262" s="1"/>
      <c r="AA262" s="1"/>
    </row>
    <row r="263" ht="15.75" customHeight="1">
      <c r="Y263" s="1"/>
      <c r="Z263" s="1"/>
      <c r="AA263" s="1"/>
    </row>
    <row r="264" ht="15.75" customHeight="1">
      <c r="Y264" s="1"/>
      <c r="Z264" s="1"/>
      <c r="AA264" s="1"/>
    </row>
    <row r="265" ht="15.75" customHeight="1">
      <c r="Y265" s="1"/>
      <c r="Z265" s="1"/>
      <c r="AA265" s="1"/>
    </row>
    <row r="266" ht="15.75" customHeight="1">
      <c r="Y266" s="1"/>
      <c r="Z266" s="1"/>
      <c r="AA266" s="1"/>
    </row>
    <row r="267" ht="15.75" customHeight="1">
      <c r="Y267" s="1"/>
      <c r="Z267" s="1"/>
      <c r="AA267" s="1"/>
    </row>
    <row r="268" ht="15.75" customHeight="1">
      <c r="Y268" s="1"/>
      <c r="Z268" s="1"/>
      <c r="AA268" s="1"/>
    </row>
    <row r="269" ht="15.75" customHeight="1">
      <c r="Y269" s="1"/>
      <c r="Z269" s="1"/>
      <c r="AA269" s="1"/>
    </row>
    <row r="270" ht="15.75" customHeight="1">
      <c r="Y270" s="1"/>
      <c r="Z270" s="1"/>
      <c r="AA270" s="1"/>
    </row>
    <row r="271" ht="15.75" customHeight="1">
      <c r="Y271" s="1"/>
      <c r="Z271" s="1"/>
      <c r="AA271" s="1"/>
    </row>
    <row r="272" ht="15.75" customHeight="1">
      <c r="Y272" s="1"/>
      <c r="Z272" s="1"/>
      <c r="AA272" s="1"/>
    </row>
    <row r="273" ht="15.75" customHeight="1">
      <c r="Y273" s="1"/>
      <c r="Z273" s="1"/>
      <c r="AA273" s="1"/>
    </row>
    <row r="274" ht="15.75" customHeight="1">
      <c r="Y274" s="1"/>
      <c r="Z274" s="1"/>
      <c r="AA274" s="1"/>
    </row>
    <row r="275" ht="15.75" customHeight="1">
      <c r="Y275" s="1"/>
      <c r="Z275" s="1"/>
      <c r="AA275" s="1"/>
    </row>
    <row r="276" ht="15.75" customHeight="1">
      <c r="Y276" s="1"/>
      <c r="Z276" s="1"/>
      <c r="AA276" s="1"/>
    </row>
    <row r="277" ht="15.75" customHeight="1">
      <c r="Y277" s="1"/>
      <c r="Z277" s="1"/>
      <c r="AA277" s="1"/>
    </row>
    <row r="278" ht="15.75" customHeight="1">
      <c r="Y278" s="1"/>
      <c r="Z278" s="1"/>
      <c r="AA278" s="1"/>
    </row>
    <row r="279" ht="15.75" customHeight="1">
      <c r="Y279" s="1"/>
      <c r="Z279" s="1"/>
      <c r="AA279" s="1"/>
    </row>
    <row r="280" ht="15.75" customHeight="1">
      <c r="Y280" s="1"/>
      <c r="Z280" s="1"/>
      <c r="AA280" s="1"/>
    </row>
    <row r="281" ht="15.75" customHeight="1">
      <c r="Y281" s="1"/>
      <c r="Z281" s="1"/>
      <c r="AA281" s="1"/>
    </row>
    <row r="282" ht="15.75" customHeight="1">
      <c r="Y282" s="1"/>
      <c r="Z282" s="1"/>
      <c r="AA282" s="1"/>
    </row>
    <row r="283" ht="15.75" customHeight="1">
      <c r="Y283" s="1"/>
      <c r="Z283" s="1"/>
      <c r="AA283" s="1"/>
    </row>
    <row r="284" ht="15.75" customHeight="1">
      <c r="Y284" s="1"/>
      <c r="Z284" s="1"/>
      <c r="AA284" s="1"/>
    </row>
    <row r="285" ht="15.75" customHeight="1">
      <c r="Y285" s="1"/>
      <c r="Z285" s="1"/>
      <c r="AA285" s="1"/>
    </row>
    <row r="286" ht="15.75" customHeight="1">
      <c r="Y286" s="1"/>
      <c r="Z286" s="1"/>
      <c r="AA286" s="1"/>
    </row>
    <row r="287" ht="15.75" customHeight="1">
      <c r="Y287" s="1"/>
      <c r="Z287" s="1"/>
      <c r="AA287" s="1"/>
    </row>
    <row r="288" ht="15.75" customHeight="1">
      <c r="Y288" s="1"/>
      <c r="Z288" s="1"/>
      <c r="AA288" s="1"/>
    </row>
    <row r="289" ht="15.75" customHeight="1">
      <c r="Y289" s="1"/>
      <c r="Z289" s="1"/>
      <c r="AA289" s="1"/>
    </row>
    <row r="290" ht="15.75" customHeight="1">
      <c r="Y290" s="1"/>
      <c r="Z290" s="1"/>
      <c r="AA290" s="1"/>
    </row>
    <row r="291" ht="15.75" customHeight="1">
      <c r="Y291" s="1"/>
      <c r="Z291" s="1"/>
      <c r="AA291" s="1"/>
    </row>
    <row r="292" ht="15.75" customHeight="1">
      <c r="Y292" s="1"/>
      <c r="Z292" s="1"/>
      <c r="AA292" s="1"/>
    </row>
    <row r="293" ht="15.75" customHeight="1">
      <c r="Y293" s="1"/>
      <c r="Z293" s="1"/>
      <c r="AA293" s="1"/>
    </row>
    <row r="294" ht="15.75" customHeight="1">
      <c r="Y294" s="1"/>
      <c r="Z294" s="1"/>
      <c r="AA294" s="1"/>
    </row>
    <row r="295" ht="15.75" customHeight="1">
      <c r="Y295" s="1"/>
      <c r="Z295" s="1"/>
      <c r="AA295" s="1"/>
    </row>
    <row r="296" ht="15.75" customHeight="1">
      <c r="Y296" s="1"/>
      <c r="Z296" s="1"/>
      <c r="AA296" s="1"/>
    </row>
    <row r="297" ht="15.75" customHeight="1">
      <c r="Y297" s="1"/>
      <c r="Z297" s="1"/>
      <c r="AA297" s="1"/>
    </row>
    <row r="298" ht="15.75" customHeight="1">
      <c r="Y298" s="1"/>
      <c r="Z298" s="1"/>
      <c r="AA298" s="1"/>
    </row>
    <row r="299" ht="15.75" customHeight="1">
      <c r="Y299" s="1"/>
      <c r="Z299" s="1"/>
      <c r="AA299" s="1"/>
    </row>
    <row r="300" ht="15.75" customHeight="1">
      <c r="Y300" s="1"/>
      <c r="Z300" s="1"/>
      <c r="AA300" s="1"/>
    </row>
    <row r="301" ht="15.75" customHeight="1">
      <c r="Y301" s="1"/>
      <c r="Z301" s="1"/>
      <c r="AA301" s="1"/>
    </row>
    <row r="302" ht="15.75" customHeight="1">
      <c r="Y302" s="1"/>
      <c r="Z302" s="1"/>
      <c r="AA302" s="1"/>
    </row>
    <row r="303" ht="15.75" customHeight="1">
      <c r="Y303" s="1"/>
      <c r="Z303" s="1"/>
      <c r="AA303" s="1"/>
    </row>
    <row r="304" ht="15.75" customHeight="1">
      <c r="Y304" s="1"/>
      <c r="Z304" s="1"/>
      <c r="AA304" s="1"/>
    </row>
    <row r="305" ht="15.75" customHeight="1">
      <c r="Y305" s="1"/>
      <c r="Z305" s="1"/>
      <c r="AA305" s="1"/>
    </row>
    <row r="306" ht="15.75" customHeight="1">
      <c r="Y306" s="1"/>
      <c r="Z306" s="1"/>
      <c r="AA306" s="1"/>
    </row>
    <row r="307" ht="15.75" customHeight="1">
      <c r="Y307" s="1"/>
      <c r="Z307" s="1"/>
      <c r="AA307" s="1"/>
    </row>
    <row r="308" ht="15.75" customHeight="1">
      <c r="Y308" s="1"/>
      <c r="Z308" s="1"/>
      <c r="AA308" s="1"/>
    </row>
    <row r="309" ht="15.75" customHeight="1">
      <c r="Y309" s="1"/>
      <c r="Z309" s="1"/>
      <c r="AA309" s="1"/>
    </row>
    <row r="310" ht="15.75" customHeight="1">
      <c r="Y310" s="1"/>
      <c r="Z310" s="1"/>
      <c r="AA310" s="1"/>
    </row>
    <row r="311" ht="15.75" customHeight="1">
      <c r="Y311" s="1"/>
      <c r="Z311" s="1"/>
      <c r="AA311" s="1"/>
    </row>
    <row r="312" ht="15.75" customHeight="1">
      <c r="Y312" s="1"/>
      <c r="Z312" s="1"/>
      <c r="AA312" s="1"/>
    </row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9">
    <mergeCell ref="I2:M2"/>
    <mergeCell ref="P2:T2"/>
    <mergeCell ref="W2:AA2"/>
    <mergeCell ref="AD2:AH2"/>
    <mergeCell ref="I17:M17"/>
    <mergeCell ref="P17:T17"/>
    <mergeCell ref="AD17:AH17"/>
    <mergeCell ref="P55:T55"/>
    <mergeCell ref="W55:AA55"/>
    <mergeCell ref="I63:M63"/>
    <mergeCell ref="P63:T63"/>
    <mergeCell ref="W63:AA63"/>
    <mergeCell ref="W17:AA17"/>
    <mergeCell ref="W32:AA32"/>
    <mergeCell ref="AD32:AH32"/>
    <mergeCell ref="I47:M47"/>
    <mergeCell ref="P47:T47"/>
    <mergeCell ref="W47:AA47"/>
    <mergeCell ref="I55:M5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>
      <c r="F36" s="68"/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