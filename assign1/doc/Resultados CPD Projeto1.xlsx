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onnemberg/Desktop/3ºano/CPD/g11/assign1/doc/"/>
    </mc:Choice>
  </mc:AlternateContent>
  <xr:revisionPtr revIDLastSave="0" documentId="13_ncr:1_{010E4B99-7A4C-9C4A-901A-27757A7C8A01}" xr6:coauthVersionLast="47" xr6:coauthVersionMax="47" xr10:uidLastSave="{00000000-0000-0000-0000-000000000000}"/>
  <bookViews>
    <workbookView xWindow="0" yWindow="780" windowWidth="34200" windowHeight="19720" activeTab="1" xr2:uid="{00000000-000D-0000-FFFF-FFFF00000000}"/>
  </bookViews>
  <sheets>
    <sheet name="Valores" sheetId="1" r:id="rId1"/>
    <sheet name="Gráfic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D67" i="1"/>
  <c r="C67" i="1"/>
  <c r="E66" i="1"/>
  <c r="D66" i="1"/>
  <c r="C66" i="1"/>
  <c r="E65" i="1"/>
  <c r="D65" i="1"/>
  <c r="C65" i="1"/>
  <c r="E64" i="1"/>
  <c r="D64" i="1"/>
  <c r="C64" i="1"/>
  <c r="E59" i="1"/>
  <c r="D59" i="1"/>
  <c r="C59" i="1"/>
  <c r="E58" i="1"/>
  <c r="D58" i="1"/>
  <c r="C58" i="1"/>
  <c r="E57" i="1"/>
  <c r="D57" i="1"/>
  <c r="C57" i="1"/>
  <c r="E56" i="1"/>
  <c r="D56" i="1"/>
  <c r="C56" i="1"/>
  <c r="E51" i="1"/>
  <c r="D51" i="1"/>
  <c r="C51" i="1"/>
  <c r="E50" i="1"/>
  <c r="D50" i="1"/>
  <c r="C50" i="1"/>
  <c r="E49" i="1"/>
  <c r="D49" i="1"/>
  <c r="C49" i="1"/>
  <c r="E48" i="1"/>
  <c r="D48" i="1"/>
  <c r="C48" i="1"/>
  <c r="D43" i="1"/>
  <c r="D112" i="1" s="1"/>
  <c r="C43" i="1"/>
  <c r="C112" i="1" s="1"/>
  <c r="D42" i="1"/>
  <c r="D111" i="1" s="1"/>
  <c r="C42" i="1"/>
  <c r="C111" i="1" s="1"/>
  <c r="D41" i="1"/>
  <c r="D110" i="1" s="1"/>
  <c r="C41" i="1"/>
  <c r="C110" i="1" s="1"/>
  <c r="D40" i="1"/>
  <c r="D109" i="1" s="1"/>
  <c r="C40" i="1"/>
  <c r="C109" i="1" s="1"/>
  <c r="D39" i="1"/>
  <c r="D108" i="1" s="1"/>
  <c r="C39" i="1"/>
  <c r="C108" i="1" s="1"/>
  <c r="D38" i="1"/>
  <c r="D107" i="1" s="1"/>
  <c r="C38" i="1"/>
  <c r="C107" i="1" s="1"/>
  <c r="D37" i="1"/>
  <c r="D106" i="1" s="1"/>
  <c r="C37" i="1"/>
  <c r="C106" i="1" s="1"/>
  <c r="D36" i="1"/>
  <c r="D105" i="1" s="1"/>
  <c r="C36" i="1"/>
  <c r="C105" i="1" s="1"/>
  <c r="D35" i="1"/>
  <c r="D104" i="1" s="1"/>
  <c r="C35" i="1"/>
  <c r="C104" i="1" s="1"/>
  <c r="D34" i="1"/>
  <c r="D103" i="1" s="1"/>
  <c r="C34" i="1"/>
  <c r="C103" i="1" s="1"/>
  <c r="D33" i="1"/>
  <c r="D102" i="1" s="1"/>
  <c r="C33" i="1"/>
  <c r="C102" i="1" s="1"/>
  <c r="F28" i="1"/>
  <c r="E28" i="1"/>
  <c r="F27" i="1"/>
  <c r="E27" i="1"/>
  <c r="F26" i="1"/>
  <c r="E26" i="1"/>
  <c r="F25" i="1"/>
  <c r="E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E13" i="1"/>
  <c r="D82" i="1" s="1"/>
  <c r="D97" i="1" s="1"/>
  <c r="E12" i="1"/>
  <c r="D81" i="1" s="1"/>
  <c r="D96" i="1" s="1"/>
  <c r="E11" i="1"/>
  <c r="D80" i="1" s="1"/>
  <c r="D95" i="1" s="1"/>
  <c r="E10" i="1"/>
  <c r="D79" i="1" s="1"/>
  <c r="D94" i="1" s="1"/>
  <c r="F9" i="1"/>
  <c r="E9" i="1"/>
  <c r="D78" i="1" s="1"/>
  <c r="D93" i="1" s="1"/>
  <c r="D9" i="1"/>
  <c r="C9" i="1"/>
  <c r="F8" i="1"/>
  <c r="E8" i="1"/>
  <c r="D77" i="1" s="1"/>
  <c r="D92" i="1" s="1"/>
  <c r="D8" i="1"/>
  <c r="C8" i="1"/>
  <c r="F7" i="1"/>
  <c r="E7" i="1"/>
  <c r="D76" i="1" s="1"/>
  <c r="D91" i="1" s="1"/>
  <c r="D7" i="1"/>
  <c r="C7" i="1"/>
  <c r="F6" i="1"/>
  <c r="E6" i="1"/>
  <c r="D75" i="1" s="1"/>
  <c r="D90" i="1" s="1"/>
  <c r="D6" i="1"/>
  <c r="C6" i="1"/>
  <c r="F5" i="1"/>
  <c r="E5" i="1"/>
  <c r="D74" i="1" s="1"/>
  <c r="D89" i="1" s="1"/>
  <c r="D5" i="1"/>
  <c r="C5" i="1"/>
  <c r="F4" i="1"/>
  <c r="E4" i="1"/>
  <c r="D73" i="1" s="1"/>
  <c r="D88" i="1" s="1"/>
  <c r="D4" i="1"/>
  <c r="C4" i="1"/>
  <c r="F3" i="1"/>
  <c r="E3" i="1"/>
  <c r="D72" i="1" s="1"/>
  <c r="D87" i="1" s="1"/>
  <c r="D3" i="1"/>
  <c r="C3" i="1"/>
  <c r="C73" i="1" l="1"/>
  <c r="C88" i="1" s="1"/>
  <c r="C77" i="1"/>
  <c r="C92" i="1" s="1"/>
  <c r="C81" i="1"/>
  <c r="C96" i="1" s="1"/>
  <c r="C74" i="1"/>
  <c r="C89" i="1" s="1"/>
  <c r="C78" i="1"/>
  <c r="C93" i="1" s="1"/>
  <c r="C82" i="1"/>
  <c r="C97" i="1" s="1"/>
  <c r="C75" i="1"/>
  <c r="C90" i="1" s="1"/>
  <c r="C79" i="1"/>
  <c r="C94" i="1" s="1"/>
  <c r="C72" i="1"/>
  <c r="C87" i="1" s="1"/>
  <c r="C76" i="1"/>
  <c r="C91" i="1" s="1"/>
  <c r="C80" i="1"/>
  <c r="C95" i="1" s="1"/>
</calcChain>
</file>

<file path=xl/sharedStrings.xml><?xml version="1.0" encoding="utf-8"?>
<sst xmlns="http://schemas.openxmlformats.org/spreadsheetml/2006/main" count="80" uniqueCount="59">
  <si>
    <t>Tempo de Execução</t>
  </si>
  <si>
    <t>Dimensões da Matriz</t>
  </si>
  <si>
    <t>Simples (C/C++)</t>
  </si>
  <si>
    <t>Simples (Java)</t>
  </si>
  <si>
    <t>Por Linha (C/C++)</t>
  </si>
  <si>
    <t>Por Linha (Java)</t>
  </si>
  <si>
    <t>Tempo Simples (C/C++)</t>
  </si>
  <si>
    <t>Tempo Simples (Java)</t>
  </si>
  <si>
    <t>Tempo Por Linha (C/C++)</t>
  </si>
  <si>
    <t>Tempo Por Linha (Java)</t>
  </si>
  <si>
    <t>Cache Misses</t>
  </si>
  <si>
    <t>L1 Cache Misses Simples (C/C++)</t>
  </si>
  <si>
    <t>L2 Cache Misses Simples (C/C++)</t>
  </si>
  <si>
    <t>L1 Cache Misses Por Linha (C/C++)</t>
  </si>
  <si>
    <t>L2 Cache Misses Por Linha (C/C++)</t>
  </si>
  <si>
    <t>L1 Cache Misses Por Linha(C/C++)</t>
  </si>
  <si>
    <t>Paralelo</t>
  </si>
  <si>
    <t xml:space="preserve">Multiplicação Por Linha Paralela OMP1 (C/C++) </t>
  </si>
  <si>
    <t>Multiplicação Por Linha Paralela OMP2 (C/C++)</t>
  </si>
  <si>
    <t xml:space="preserve">Multiplicação Por Linha Paralela OMP1 </t>
  </si>
  <si>
    <t>Multiplicação Por Linha Paralela OMP2</t>
  </si>
  <si>
    <t>Tempo 128 bkSize</t>
  </si>
  <si>
    <t>Tempo 256 bkSize</t>
  </si>
  <si>
    <t>Tempo 512 bkSize</t>
  </si>
  <si>
    <t>Tempo Bloco C/C++ (128 bkSize)</t>
  </si>
  <si>
    <t>Tempo Bloco C/C++ (256 bkSize)</t>
  </si>
  <si>
    <t>Tempo Bloco C/C++ (512 bkSize)</t>
  </si>
  <si>
    <t>383.921</t>
  </si>
  <si>
    <t>425.155</t>
  </si>
  <si>
    <t>798.074</t>
  </si>
  <si>
    <t>776.268</t>
  </si>
  <si>
    <t>L1 Cache Misses</t>
  </si>
  <si>
    <t>L1 Cache Misses 128 bkSize</t>
  </si>
  <si>
    <t>L1 Cache Misses 256 bkSize</t>
  </si>
  <si>
    <t>L1 Cache Misses 512 bkSize</t>
  </si>
  <si>
    <t>L1 Bloco C/C++ (128 bkSize)</t>
  </si>
  <si>
    <t>L1 Bloco C/C++ (256 bkSize)</t>
  </si>
  <si>
    <t>L1 Bloco C/C++ (512 bkSize)</t>
  </si>
  <si>
    <t>L2 Cache Misses</t>
  </si>
  <si>
    <t>L2 Cache Misses 128 bkSize</t>
  </si>
  <si>
    <t>L2 Cache Misses 256 bkSize</t>
  </si>
  <si>
    <t>L2 Cache Misses 512 bkSize</t>
  </si>
  <si>
    <t>L2 Bloco C/C++ (128 bkSize)</t>
  </si>
  <si>
    <t>L2 Bloco C/C++ (256 bkSize)</t>
  </si>
  <si>
    <t>L2 Bloco C/C++ (512 bkSize)</t>
  </si>
  <si>
    <t>Speedup</t>
  </si>
  <si>
    <t xml:space="preserve"> Simples Por Linha vs OMP1 Paralelo</t>
  </si>
  <si>
    <t xml:space="preserve">Simples Por Linha vs OMP2 Paralelo </t>
  </si>
  <si>
    <t>Speedup = Tsequencial / Tparalelo</t>
  </si>
  <si>
    <t>Eficiência</t>
  </si>
  <si>
    <t>OMP1 Paralelo vs Simples Por Linha</t>
  </si>
  <si>
    <t>OMP2 Paralelo vs Simples Por Linha</t>
  </si>
  <si>
    <t>Eficência (%) = (Speedup / Nº threads usadas) *100</t>
  </si>
  <si>
    <t>(neste caso 4 threads)</t>
  </si>
  <si>
    <t>MFLOPS</t>
  </si>
  <si>
    <t>Multiplicação Por Linha Paralela OMP1</t>
  </si>
  <si>
    <t xml:space="preserve">Multiplicação Por Linha Paralela OMP2 </t>
  </si>
  <si>
    <t>MFLOPS = Nº de operações / (Texecução * 10^6)</t>
  </si>
  <si>
    <t>Nº de operações = 2 * (m_ar)^3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</si>
</sst>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2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0" xfId="0" applyFont="1"/>
    <xf numFmtId="0" fontId="3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5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1" fillId="2" borderId="1" xfId="0" applyFont="1" applyFill="1" applyBorder="1"/>
    <xf numFmtId="0" fontId="5" fillId="0" borderId="6" xfId="0" applyFont="1" applyBorder="1"/>
    <xf numFmtId="0" fontId="5" fillId="0" borderId="8" xfId="0" applyFont="1" applyBorder="1"/>
    <xf numFmtId="0" fontId="5" fillId="0" borderId="9" xfId="0" applyFont="1" applyBorder="1"/>
    <xf numFmtId="0" fontId="3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3" fillId="0" borderId="8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317500</xdr:colOff>
      <xdr:row>19</xdr:row>
      <xdr:rowOff>65586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06FE0-0656-51FF-DCC0-D5128709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08700" cy="3685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6</xdr:col>
      <xdr:colOff>406400</xdr:colOff>
      <xdr:row>42</xdr:row>
      <xdr:rowOff>22183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EF5E49-CFF1-A1E1-A78D-4B97ED71E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6197600" cy="3832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13</xdr:col>
      <xdr:colOff>165100</xdr:colOff>
      <xdr:row>41</xdr:row>
      <xdr:rowOff>63479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217FBC-2FD8-84B9-3259-98A52F455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6400" y="4191000"/>
          <a:ext cx="5956300" cy="3682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</xdr:row>
      <xdr:rowOff>1</xdr:rowOff>
    </xdr:from>
    <xdr:to>
      <xdr:col>20</xdr:col>
      <xdr:colOff>177800</xdr:colOff>
      <xdr:row>41</xdr:row>
      <xdr:rowOff>71333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133052-D36B-D80B-15B7-1D324B66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2800" y="4191001"/>
          <a:ext cx="5969000" cy="3690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27</xdr:col>
      <xdr:colOff>206212</xdr:colOff>
      <xdr:row>41</xdr:row>
      <xdr:rowOff>88900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3B35A6-7C3D-36E2-CFCA-4EE33698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9200" y="4191000"/>
          <a:ext cx="5997412" cy="370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</xdr:colOff>
      <xdr:row>48</xdr:row>
      <xdr:rowOff>25400</xdr:rowOff>
    </xdr:from>
    <xdr:to>
      <xdr:col>6</xdr:col>
      <xdr:colOff>383225</xdr:colOff>
      <xdr:row>68</xdr:row>
      <xdr:rowOff>25400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D629DF-8140-680C-8810-356B9DCB0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9169400"/>
          <a:ext cx="6161725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13</xdr:col>
      <xdr:colOff>571500</xdr:colOff>
      <xdr:row>68</xdr:row>
      <xdr:rowOff>124270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DF2C7BE-8A5E-B52A-DD23-94B00AC58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6400" y="9144000"/>
          <a:ext cx="6362700" cy="3934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21</xdr:col>
      <xdr:colOff>444500</xdr:colOff>
      <xdr:row>68</xdr:row>
      <xdr:rowOff>45741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4151E7-5BE8-BCEA-6F08-F68945D2A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0" y="9144000"/>
          <a:ext cx="6235700" cy="3855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965199</xdr:colOff>
      <xdr:row>1</xdr:row>
      <xdr:rowOff>0</xdr:rowOff>
    </xdr:from>
    <xdr:to>
      <xdr:col>12</xdr:col>
      <xdr:colOff>863324</xdr:colOff>
      <xdr:row>19</xdr:row>
      <xdr:rowOff>88900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34C0C0-2B02-4BA6-323E-555E4BBC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6399" y="190500"/>
          <a:ext cx="5689325" cy="351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0"/>
  <sheetViews>
    <sheetView workbookViewId="0"/>
  </sheetViews>
  <sheetFormatPr baseColWidth="10" defaultColWidth="12.6640625" defaultRowHeight="15" customHeight="1" x14ac:dyDescent="0.15"/>
  <cols>
    <col min="1" max="1" width="14.6640625" customWidth="1"/>
    <col min="2" max="2" width="10.83203125" customWidth="1"/>
    <col min="3" max="3" width="30.6640625" customWidth="1"/>
    <col min="4" max="4" width="44.5" customWidth="1"/>
    <col min="5" max="7" width="34.1640625" customWidth="1"/>
    <col min="8" max="8" width="10.83203125" customWidth="1"/>
    <col min="9" max="9" width="30.83203125" customWidth="1"/>
    <col min="10" max="11" width="14.33203125" customWidth="1"/>
    <col min="12" max="14" width="13.1640625" customWidth="1"/>
    <col min="15" max="15" width="10.83203125" customWidth="1"/>
    <col min="16" max="16" width="30.6640625" customWidth="1"/>
    <col min="17" max="17" width="14.33203125" customWidth="1"/>
    <col min="18" max="21" width="12.1640625" customWidth="1"/>
    <col min="22" max="22" width="10.83203125" customWidth="1"/>
    <col min="23" max="23" width="34.33203125" customWidth="1"/>
    <col min="24" max="28" width="14.33203125" customWidth="1"/>
    <col min="29" max="29" width="6.5" customWidth="1"/>
    <col min="30" max="30" width="34.33203125" customWidth="1"/>
    <col min="31" max="34" width="14.33203125" customWidth="1"/>
  </cols>
  <sheetData>
    <row r="1" spans="1:34" ht="15.75" customHeight="1" x14ac:dyDescent="0.2">
      <c r="Y1" s="1"/>
      <c r="Z1" s="1"/>
      <c r="AA1" s="1"/>
    </row>
    <row r="2" spans="1:34" ht="15.75" customHeight="1" x14ac:dyDescent="0.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/>
      <c r="H2" s="1"/>
      <c r="I2" s="44" t="s">
        <v>6</v>
      </c>
      <c r="J2" s="45"/>
      <c r="K2" s="45"/>
      <c r="L2" s="45"/>
      <c r="M2" s="46"/>
      <c r="N2" s="4"/>
      <c r="O2" s="1"/>
      <c r="P2" s="44" t="s">
        <v>7</v>
      </c>
      <c r="Q2" s="45"/>
      <c r="R2" s="45"/>
      <c r="S2" s="45"/>
      <c r="T2" s="46"/>
      <c r="U2" s="4"/>
      <c r="V2" s="1"/>
      <c r="W2" s="44" t="s">
        <v>8</v>
      </c>
      <c r="X2" s="45"/>
      <c r="Y2" s="45"/>
      <c r="Z2" s="45"/>
      <c r="AA2" s="46"/>
      <c r="AB2" s="4"/>
      <c r="AC2" s="1"/>
      <c r="AD2" s="44" t="s">
        <v>9</v>
      </c>
      <c r="AE2" s="45"/>
      <c r="AF2" s="45"/>
      <c r="AG2" s="45"/>
      <c r="AH2" s="46"/>
    </row>
    <row r="3" spans="1:34" ht="15.75" customHeight="1" x14ac:dyDescent="0.2">
      <c r="A3" s="1"/>
      <c r="B3" s="2">
        <v>600</v>
      </c>
      <c r="C3" s="5">
        <f t="shared" ref="C3:C9" si="0">AVERAGE(I3:M3)</f>
        <v>0.41600000000000004</v>
      </c>
      <c r="D3" s="5">
        <f t="shared" ref="D3:D9" si="1">AVERAGE(P3:T3)</f>
        <v>0.96166666666666656</v>
      </c>
      <c r="E3" s="5">
        <f t="shared" ref="E3:E13" si="2">AVERAGE(W3:Y3)</f>
        <v>0.16366666666666665</v>
      </c>
      <c r="F3" s="5">
        <f t="shared" ref="F3:F9" si="3">AVERAGE(AD3:AF3)</f>
        <v>0.12833333333333333</v>
      </c>
      <c r="G3" s="1"/>
      <c r="H3" s="1">
        <v>600</v>
      </c>
      <c r="I3" s="6">
        <v>0.46</v>
      </c>
      <c r="J3" s="4">
        <v>0.35299999999999998</v>
      </c>
      <c r="K3" s="4">
        <v>0.35499999999999998</v>
      </c>
      <c r="L3" s="4">
        <v>0.53800000000000003</v>
      </c>
      <c r="M3" s="7">
        <v>0.374</v>
      </c>
      <c r="N3" s="1"/>
      <c r="O3" s="1">
        <v>600</v>
      </c>
      <c r="P3" s="6">
        <v>1.286</v>
      </c>
      <c r="Q3" s="4">
        <v>0.747</v>
      </c>
      <c r="R3" s="4">
        <v>0.85199999999999998</v>
      </c>
      <c r="S3" s="4"/>
      <c r="T3" s="7"/>
      <c r="U3" s="1"/>
      <c r="V3" s="1">
        <v>600</v>
      </c>
      <c r="W3" s="6">
        <v>0.14699999999999999</v>
      </c>
      <c r="X3" s="4">
        <v>0.17499999999999999</v>
      </c>
      <c r="Y3" s="4">
        <v>0.16900000000000001</v>
      </c>
      <c r="Z3" s="1"/>
      <c r="AA3" s="8"/>
      <c r="AB3" s="1"/>
      <c r="AC3" s="1">
        <v>600</v>
      </c>
      <c r="AD3" s="6">
        <v>0.17399999999999999</v>
      </c>
      <c r="AE3" s="4">
        <v>0.112</v>
      </c>
      <c r="AF3" s="4">
        <v>9.9000000000000005E-2</v>
      </c>
      <c r="AG3" s="1"/>
      <c r="AH3" s="8"/>
    </row>
    <row r="4" spans="1:34" ht="15.75" customHeight="1" x14ac:dyDescent="0.2">
      <c r="A4" s="1"/>
      <c r="B4" s="2">
        <v>1000</v>
      </c>
      <c r="C4" s="5">
        <f t="shared" si="0"/>
        <v>2.0752000000000002</v>
      </c>
      <c r="D4" s="5">
        <f t="shared" si="1"/>
        <v>2.0783333333333331</v>
      </c>
      <c r="E4" s="5">
        <f t="shared" si="2"/>
        <v>0.76633333333333331</v>
      </c>
      <c r="F4" s="5">
        <f t="shared" si="3"/>
        <v>0.57333333333333336</v>
      </c>
      <c r="G4" s="1"/>
      <c r="H4" s="1">
        <v>1000</v>
      </c>
      <c r="I4" s="6">
        <v>2.1179999999999999</v>
      </c>
      <c r="J4" s="4">
        <v>1.9710000000000001</v>
      </c>
      <c r="K4" s="4">
        <v>1.92</v>
      </c>
      <c r="L4" s="4">
        <v>1.9470000000000001</v>
      </c>
      <c r="M4" s="7">
        <v>2.42</v>
      </c>
      <c r="N4" s="1"/>
      <c r="O4" s="1">
        <v>1000</v>
      </c>
      <c r="P4" s="6">
        <v>1.746</v>
      </c>
      <c r="Q4" s="4">
        <v>2.4750000000000001</v>
      </c>
      <c r="R4" s="4">
        <v>2.0139999999999998</v>
      </c>
      <c r="S4" s="4"/>
      <c r="T4" s="7"/>
      <c r="U4" s="1"/>
      <c r="V4" s="1">
        <v>1000</v>
      </c>
      <c r="W4" s="6">
        <v>0.77400000000000002</v>
      </c>
      <c r="X4" s="4">
        <v>0.79200000000000004</v>
      </c>
      <c r="Y4" s="4">
        <v>0.73299999999999998</v>
      </c>
      <c r="Z4" s="1"/>
      <c r="AA4" s="8"/>
      <c r="AB4" s="1"/>
      <c r="AC4" s="1">
        <v>1000</v>
      </c>
      <c r="AD4" s="6">
        <v>0.52500000000000002</v>
      </c>
      <c r="AE4" s="4">
        <v>0.56000000000000005</v>
      </c>
      <c r="AF4" s="4">
        <v>0.63500000000000001</v>
      </c>
      <c r="AG4" s="1"/>
      <c r="AH4" s="8"/>
    </row>
    <row r="5" spans="1:34" ht="15.75" customHeight="1" x14ac:dyDescent="0.2">
      <c r="A5" s="1"/>
      <c r="B5" s="2">
        <v>1400</v>
      </c>
      <c r="C5" s="5">
        <f t="shared" si="0"/>
        <v>5.4638</v>
      </c>
      <c r="D5" s="5">
        <f t="shared" si="1"/>
        <v>7.0696666666666665</v>
      </c>
      <c r="E5" s="5">
        <f t="shared" si="2"/>
        <v>2.3673333333333333</v>
      </c>
      <c r="F5" s="5">
        <f t="shared" si="3"/>
        <v>2.3619999999999997</v>
      </c>
      <c r="G5" s="1"/>
      <c r="H5" s="1">
        <v>1400</v>
      </c>
      <c r="I5" s="6">
        <v>5.585</v>
      </c>
      <c r="J5" s="4">
        <v>5.5410000000000004</v>
      </c>
      <c r="K5" s="4">
        <v>5.4210000000000003</v>
      </c>
      <c r="L5" s="4">
        <v>5.3620000000000001</v>
      </c>
      <c r="M5" s="7">
        <v>5.41</v>
      </c>
      <c r="N5" s="1"/>
      <c r="O5" s="1">
        <v>1400</v>
      </c>
      <c r="P5" s="6">
        <v>5.6989999999999998</v>
      </c>
      <c r="Q5" s="4">
        <v>6.5640000000000001</v>
      </c>
      <c r="R5" s="4">
        <v>8.9459999999999997</v>
      </c>
      <c r="S5" s="4"/>
      <c r="T5" s="7"/>
      <c r="U5" s="1"/>
      <c r="V5" s="1">
        <v>1400</v>
      </c>
      <c r="W5" s="6">
        <v>2.7490000000000001</v>
      </c>
      <c r="X5" s="4">
        <v>2.3119999999999998</v>
      </c>
      <c r="Y5" s="4">
        <v>2.0409999999999999</v>
      </c>
      <c r="Z5" s="1"/>
      <c r="AA5" s="8"/>
      <c r="AB5" s="1"/>
      <c r="AC5" s="1">
        <v>1400</v>
      </c>
      <c r="AD5" s="6">
        <v>1.617</v>
      </c>
      <c r="AE5" s="4">
        <v>2.855</v>
      </c>
      <c r="AF5" s="4">
        <v>2.6139999999999999</v>
      </c>
      <c r="AG5" s="1"/>
      <c r="AH5" s="8"/>
    </row>
    <row r="6" spans="1:34" ht="15.75" customHeight="1" x14ac:dyDescent="0.2">
      <c r="A6" s="1"/>
      <c r="B6" s="2">
        <v>1800</v>
      </c>
      <c r="C6" s="5">
        <f t="shared" si="0"/>
        <v>15.203999999999999</v>
      </c>
      <c r="D6" s="5">
        <f t="shared" si="1"/>
        <v>19.703999999999997</v>
      </c>
      <c r="E6" s="5">
        <f t="shared" si="2"/>
        <v>5.4273333333333333</v>
      </c>
      <c r="F6" s="5">
        <f t="shared" si="3"/>
        <v>2.9103333333333334</v>
      </c>
      <c r="G6" s="1"/>
      <c r="H6" s="1">
        <v>1800</v>
      </c>
      <c r="I6" s="6">
        <v>15.574</v>
      </c>
      <c r="J6" s="4">
        <v>16.93</v>
      </c>
      <c r="K6" s="4">
        <v>14.808999999999999</v>
      </c>
      <c r="L6" s="4">
        <v>14.858000000000001</v>
      </c>
      <c r="M6" s="7">
        <v>13.849</v>
      </c>
      <c r="N6" s="1"/>
      <c r="O6" s="1">
        <v>1800</v>
      </c>
      <c r="P6" s="6">
        <v>19.981999999999999</v>
      </c>
      <c r="Q6" s="4">
        <v>17.149999999999999</v>
      </c>
      <c r="R6" s="4">
        <v>21.98</v>
      </c>
      <c r="S6" s="4"/>
      <c r="T6" s="7"/>
      <c r="U6" s="1"/>
      <c r="V6" s="1">
        <v>1800</v>
      </c>
      <c r="W6" s="6">
        <v>5.78</v>
      </c>
      <c r="X6" s="4">
        <v>5.4109999999999996</v>
      </c>
      <c r="Y6" s="4">
        <v>5.0910000000000002</v>
      </c>
      <c r="Z6" s="1"/>
      <c r="AA6" s="8"/>
      <c r="AB6" s="1"/>
      <c r="AC6" s="1">
        <v>1800</v>
      </c>
      <c r="AD6" s="6">
        <v>2.8940000000000001</v>
      </c>
      <c r="AE6" s="4">
        <v>2.7160000000000002</v>
      </c>
      <c r="AF6" s="4">
        <v>3.121</v>
      </c>
      <c r="AG6" s="1"/>
      <c r="AH6" s="8"/>
    </row>
    <row r="7" spans="1:34" ht="15.75" customHeight="1" x14ac:dyDescent="0.2">
      <c r="A7" s="1"/>
      <c r="B7" s="2">
        <v>2200</v>
      </c>
      <c r="C7" s="5">
        <f t="shared" si="0"/>
        <v>56.517399999999995</v>
      </c>
      <c r="D7" s="5">
        <f t="shared" si="1"/>
        <v>54.645000000000003</v>
      </c>
      <c r="E7" s="5">
        <f t="shared" si="2"/>
        <v>8.7330000000000005</v>
      </c>
      <c r="F7" s="5">
        <f t="shared" si="3"/>
        <v>5.6406666666666672</v>
      </c>
      <c r="G7" s="1"/>
      <c r="H7" s="1">
        <v>2200</v>
      </c>
      <c r="I7" s="6">
        <v>48.935000000000002</v>
      </c>
      <c r="J7" s="4">
        <v>52.863999999999997</v>
      </c>
      <c r="K7" s="4">
        <v>59.11</v>
      </c>
      <c r="L7" s="4">
        <v>62.168999999999997</v>
      </c>
      <c r="M7" s="7">
        <v>59.509</v>
      </c>
      <c r="N7" s="1"/>
      <c r="O7" s="1">
        <v>2200</v>
      </c>
      <c r="P7" s="6">
        <v>56.786000000000001</v>
      </c>
      <c r="Q7" s="4">
        <v>53.857999999999997</v>
      </c>
      <c r="R7" s="4">
        <v>53.290999999999997</v>
      </c>
      <c r="S7" s="4"/>
      <c r="T7" s="7"/>
      <c r="U7" s="1"/>
      <c r="V7" s="1">
        <v>2200</v>
      </c>
      <c r="W7" s="6">
        <v>9.7650000000000006</v>
      </c>
      <c r="X7" s="4">
        <v>8.2880000000000003</v>
      </c>
      <c r="Y7" s="4">
        <v>8.1460000000000008</v>
      </c>
      <c r="Z7" s="1"/>
      <c r="AA7" s="8"/>
      <c r="AB7" s="1"/>
      <c r="AC7" s="1">
        <v>2200</v>
      </c>
      <c r="AD7" s="6">
        <v>5.5979999999999999</v>
      </c>
      <c r="AE7" s="4">
        <v>5.7039999999999997</v>
      </c>
      <c r="AF7" s="4">
        <v>5.62</v>
      </c>
      <c r="AG7" s="1"/>
      <c r="AH7" s="8"/>
    </row>
    <row r="8" spans="1:34" ht="15.75" customHeight="1" x14ac:dyDescent="0.2">
      <c r="A8" s="1"/>
      <c r="B8" s="2">
        <v>2600</v>
      </c>
      <c r="C8" s="5">
        <f t="shared" si="0"/>
        <v>114.9558</v>
      </c>
      <c r="D8" s="5">
        <f t="shared" si="1"/>
        <v>125.55933333333333</v>
      </c>
      <c r="E8" s="5">
        <f t="shared" si="2"/>
        <v>14.393333333333333</v>
      </c>
      <c r="F8" s="5">
        <f t="shared" si="3"/>
        <v>9.134666666666666</v>
      </c>
      <c r="G8" s="1"/>
      <c r="H8" s="1">
        <v>2600</v>
      </c>
      <c r="I8" s="6">
        <v>138.565</v>
      </c>
      <c r="J8" s="4">
        <v>111.577</v>
      </c>
      <c r="K8" s="4">
        <v>109.142</v>
      </c>
      <c r="L8" s="4">
        <v>111.07899999999999</v>
      </c>
      <c r="M8" s="7">
        <v>104.416</v>
      </c>
      <c r="N8" s="1"/>
      <c r="O8" s="1">
        <v>2600</v>
      </c>
      <c r="P8" s="6">
        <v>122.33</v>
      </c>
      <c r="Q8" s="4">
        <v>139.036</v>
      </c>
      <c r="R8" s="4">
        <v>115.312</v>
      </c>
      <c r="S8" s="4"/>
      <c r="T8" s="7"/>
      <c r="U8" s="1"/>
      <c r="V8" s="1">
        <v>2600</v>
      </c>
      <c r="W8" s="9">
        <v>14.582000000000001</v>
      </c>
      <c r="X8" s="10">
        <v>14.324999999999999</v>
      </c>
      <c r="Y8" s="10">
        <v>14.273</v>
      </c>
      <c r="Z8" s="1"/>
      <c r="AA8" s="8"/>
      <c r="AB8" s="1"/>
      <c r="AC8" s="1">
        <v>2600</v>
      </c>
      <c r="AD8" s="6">
        <v>9.0519999999999996</v>
      </c>
      <c r="AE8" s="4">
        <v>8.7379999999999995</v>
      </c>
      <c r="AF8" s="4">
        <v>9.6140000000000008</v>
      </c>
      <c r="AG8" s="1"/>
      <c r="AH8" s="8"/>
    </row>
    <row r="9" spans="1:34" ht="15.75" customHeight="1" x14ac:dyDescent="0.2">
      <c r="A9" s="1"/>
      <c r="B9" s="2">
        <v>3000</v>
      </c>
      <c r="C9" s="5">
        <f t="shared" si="0"/>
        <v>199.57499999999999</v>
      </c>
      <c r="D9" s="5">
        <f t="shared" si="1"/>
        <v>217.86299999999997</v>
      </c>
      <c r="E9" s="5">
        <f t="shared" si="2"/>
        <v>21.938666666666666</v>
      </c>
      <c r="F9" s="5">
        <f t="shared" si="3"/>
        <v>15.529666666666666</v>
      </c>
      <c r="G9" s="1"/>
      <c r="H9" s="1">
        <v>3000</v>
      </c>
      <c r="I9" s="11">
        <v>189.66800000000001</v>
      </c>
      <c r="J9" s="12">
        <v>183.124</v>
      </c>
      <c r="K9" s="12">
        <v>188.99700000000001</v>
      </c>
      <c r="L9" s="12">
        <v>212.14500000000001</v>
      </c>
      <c r="M9" s="13">
        <v>223.941</v>
      </c>
      <c r="N9" s="1"/>
      <c r="O9" s="1">
        <v>3000</v>
      </c>
      <c r="P9" s="11">
        <v>219.99</v>
      </c>
      <c r="Q9" s="12">
        <v>222.10599999999999</v>
      </c>
      <c r="R9" s="12">
        <v>211.49299999999999</v>
      </c>
      <c r="S9" s="12"/>
      <c r="T9" s="13"/>
      <c r="U9" s="1"/>
      <c r="V9" s="1">
        <v>3000</v>
      </c>
      <c r="W9" s="9">
        <v>20.423999999999999</v>
      </c>
      <c r="X9" s="10">
        <v>22.96</v>
      </c>
      <c r="Y9" s="10">
        <v>22.431999999999999</v>
      </c>
      <c r="Z9" s="14"/>
      <c r="AA9" s="15"/>
      <c r="AB9" s="14"/>
      <c r="AC9" s="1">
        <v>3000</v>
      </c>
      <c r="AD9" s="11">
        <v>15.321</v>
      </c>
      <c r="AE9" s="12">
        <v>14.867000000000001</v>
      </c>
      <c r="AF9" s="12">
        <v>16.401</v>
      </c>
      <c r="AG9" s="16"/>
      <c r="AH9" s="17"/>
    </row>
    <row r="10" spans="1:34" ht="15.75" customHeight="1" x14ac:dyDescent="0.2">
      <c r="A10" s="1"/>
      <c r="B10" s="2">
        <v>4096</v>
      </c>
      <c r="C10" s="5"/>
      <c r="D10" s="5"/>
      <c r="E10" s="5">
        <f t="shared" si="2"/>
        <v>59.312666666666665</v>
      </c>
      <c r="F10" s="5"/>
      <c r="G10" s="1"/>
      <c r="H10" s="1"/>
      <c r="I10" s="4"/>
      <c r="J10" s="4"/>
      <c r="K10" s="4"/>
      <c r="L10" s="4"/>
      <c r="M10" s="4"/>
      <c r="N10" s="1"/>
      <c r="O10" s="1"/>
      <c r="P10" s="4"/>
      <c r="Q10" s="4"/>
      <c r="R10" s="4"/>
      <c r="S10" s="4"/>
      <c r="T10" s="4"/>
      <c r="U10" s="1"/>
      <c r="V10" s="1">
        <v>4096</v>
      </c>
      <c r="W10" s="9">
        <v>57.389000000000003</v>
      </c>
      <c r="X10" s="10">
        <v>59.112000000000002</v>
      </c>
      <c r="Y10" s="10">
        <v>61.436999999999998</v>
      </c>
      <c r="Z10" s="18"/>
      <c r="AA10" s="19"/>
      <c r="AB10" s="18"/>
      <c r="AC10" s="1"/>
      <c r="AD10" s="1"/>
      <c r="AE10" s="1"/>
      <c r="AF10" s="1"/>
      <c r="AG10" s="1"/>
      <c r="AH10" s="1"/>
    </row>
    <row r="11" spans="1:34" ht="15.75" customHeight="1" x14ac:dyDescent="0.2">
      <c r="A11" s="1"/>
      <c r="B11" s="2">
        <v>6144</v>
      </c>
      <c r="C11" s="5"/>
      <c r="D11" s="5"/>
      <c r="E11" s="5">
        <f t="shared" si="2"/>
        <v>186.90966666666668</v>
      </c>
      <c r="F11" s="5"/>
      <c r="G11" s="1"/>
      <c r="H11" s="1"/>
      <c r="I11" s="4"/>
      <c r="J11" s="4"/>
      <c r="K11" s="4"/>
      <c r="L11" s="4"/>
      <c r="M11" s="4"/>
      <c r="N11" s="1"/>
      <c r="O11" s="1"/>
      <c r="P11" s="4"/>
      <c r="Q11" s="4"/>
      <c r="R11" s="4"/>
      <c r="S11" s="4"/>
      <c r="T11" s="4"/>
      <c r="U11" s="1"/>
      <c r="V11" s="1">
        <v>6144</v>
      </c>
      <c r="W11" s="9">
        <v>196.001</v>
      </c>
      <c r="X11" s="10">
        <v>181.054</v>
      </c>
      <c r="Y11" s="10">
        <v>183.67400000000001</v>
      </c>
      <c r="Z11" s="18"/>
      <c r="AA11" s="19"/>
      <c r="AB11" s="18"/>
      <c r="AC11" s="1"/>
      <c r="AD11" s="1"/>
      <c r="AE11" s="1"/>
      <c r="AF11" s="1"/>
      <c r="AG11" s="1"/>
      <c r="AH11" s="1"/>
    </row>
    <row r="12" spans="1:34" ht="15.75" customHeight="1" x14ac:dyDescent="0.2">
      <c r="A12" s="1"/>
      <c r="B12" s="2">
        <v>8192</v>
      </c>
      <c r="C12" s="5"/>
      <c r="D12" s="5"/>
      <c r="E12" s="5">
        <f t="shared" si="2"/>
        <v>485.85833333333335</v>
      </c>
      <c r="F12" s="5"/>
      <c r="G12" s="1"/>
      <c r="H12" s="1"/>
      <c r="I12" s="4"/>
      <c r="J12" s="4"/>
      <c r="K12" s="4"/>
      <c r="L12" s="4"/>
      <c r="M12" s="4"/>
      <c r="N12" s="1"/>
      <c r="O12" s="1"/>
      <c r="P12" s="4"/>
      <c r="Q12" s="4"/>
      <c r="R12" s="4"/>
      <c r="S12" s="4"/>
      <c r="T12" s="4"/>
      <c r="U12" s="1"/>
      <c r="V12" s="1">
        <v>8192</v>
      </c>
      <c r="W12" s="9">
        <v>451.18700000000001</v>
      </c>
      <c r="X12" s="10">
        <v>481.81900000000002</v>
      </c>
      <c r="Y12" s="10">
        <v>524.56899999999996</v>
      </c>
      <c r="Z12" s="18"/>
      <c r="AA12" s="19"/>
      <c r="AB12" s="18"/>
      <c r="AC12" s="1"/>
      <c r="AD12" s="1"/>
      <c r="AE12" s="1"/>
      <c r="AF12" s="1"/>
      <c r="AG12" s="1"/>
      <c r="AH12" s="1"/>
    </row>
    <row r="13" spans="1:34" ht="15.75" customHeight="1" x14ac:dyDescent="0.2">
      <c r="A13" s="1"/>
      <c r="B13" s="2">
        <v>10240</v>
      </c>
      <c r="C13" s="5"/>
      <c r="D13" s="5"/>
      <c r="E13" s="5">
        <f t="shared" si="2"/>
        <v>882.30066666666664</v>
      </c>
      <c r="F13" s="5"/>
      <c r="G13" s="1"/>
      <c r="H13" s="1"/>
      <c r="I13" s="4"/>
      <c r="J13" s="4"/>
      <c r="K13" s="4"/>
      <c r="L13" s="4"/>
      <c r="M13" s="4"/>
      <c r="N13" s="1"/>
      <c r="O13" s="1"/>
      <c r="P13" s="4"/>
      <c r="Q13" s="4"/>
      <c r="R13" s="4"/>
      <c r="S13" s="4"/>
      <c r="T13" s="4"/>
      <c r="U13" s="1"/>
      <c r="V13" s="1">
        <v>10240</v>
      </c>
      <c r="W13" s="20">
        <v>925.548</v>
      </c>
      <c r="X13" s="21">
        <v>877.16499999999996</v>
      </c>
      <c r="Y13" s="21">
        <v>844.18899999999996</v>
      </c>
      <c r="Z13" s="22"/>
      <c r="AA13" s="23"/>
      <c r="AB13" s="18"/>
      <c r="AC13" s="1"/>
      <c r="AD13" s="1"/>
      <c r="AE13" s="1"/>
      <c r="AF13" s="1"/>
      <c r="AG13" s="1"/>
      <c r="AH13" s="1"/>
    </row>
    <row r="14" spans="1:34" ht="15.75" customHeight="1" x14ac:dyDescent="0.2">
      <c r="C14" s="24"/>
      <c r="D14" s="24"/>
      <c r="E14" s="24"/>
      <c r="F14" s="24"/>
      <c r="I14" s="24"/>
      <c r="J14" s="24"/>
      <c r="K14" s="24"/>
      <c r="L14" s="24"/>
      <c r="M14" s="24"/>
      <c r="P14" s="24"/>
      <c r="Q14" s="24"/>
      <c r="R14" s="24"/>
      <c r="S14" s="24"/>
      <c r="T14" s="24"/>
      <c r="Y14" s="1"/>
      <c r="Z14" s="1"/>
      <c r="AA14" s="1"/>
    </row>
    <row r="15" spans="1:34" ht="15.75" customHeight="1" x14ac:dyDescent="0.2">
      <c r="C15" s="24"/>
      <c r="D15" s="24"/>
      <c r="E15" s="24"/>
      <c r="F15" s="24"/>
      <c r="I15" s="24"/>
      <c r="J15" s="24"/>
      <c r="K15" s="24"/>
      <c r="L15" s="24"/>
      <c r="M15" s="24"/>
      <c r="P15" s="24"/>
      <c r="Q15" s="24"/>
      <c r="R15" s="24"/>
      <c r="S15" s="24"/>
      <c r="T15" s="24"/>
      <c r="Y15" s="1"/>
      <c r="Z15" s="1"/>
      <c r="AA15" s="1"/>
    </row>
    <row r="16" spans="1:34" ht="15.75" customHeight="1" x14ac:dyDescent="0.2">
      <c r="C16" s="24"/>
      <c r="D16" s="24"/>
      <c r="E16" s="24"/>
      <c r="F16" s="24"/>
      <c r="I16" s="24"/>
      <c r="J16" s="24"/>
      <c r="K16" s="24"/>
      <c r="L16" s="24"/>
      <c r="M16" s="24"/>
      <c r="P16" s="24"/>
      <c r="Q16" s="24"/>
      <c r="R16" s="24"/>
      <c r="S16" s="24"/>
      <c r="T16" s="24"/>
      <c r="Y16" s="1"/>
      <c r="Z16" s="1"/>
      <c r="AA16" s="1"/>
    </row>
    <row r="17" spans="1:34" ht="15.75" customHeight="1" x14ac:dyDescent="0.2">
      <c r="A17" s="1" t="s">
        <v>10</v>
      </c>
      <c r="B17" s="2" t="s">
        <v>1</v>
      </c>
      <c r="C17" s="3" t="s">
        <v>11</v>
      </c>
      <c r="D17" s="3" t="s">
        <v>12</v>
      </c>
      <c r="E17" s="3" t="s">
        <v>13</v>
      </c>
      <c r="F17" s="3" t="s">
        <v>14</v>
      </c>
      <c r="G17" s="1"/>
      <c r="H17" s="1"/>
      <c r="I17" s="44" t="s">
        <v>11</v>
      </c>
      <c r="J17" s="45"/>
      <c r="K17" s="45"/>
      <c r="L17" s="45"/>
      <c r="M17" s="46"/>
      <c r="N17" s="4"/>
      <c r="O17" s="1"/>
      <c r="P17" s="44" t="s">
        <v>12</v>
      </c>
      <c r="Q17" s="45"/>
      <c r="R17" s="45"/>
      <c r="S17" s="45"/>
      <c r="T17" s="46"/>
      <c r="U17" s="4"/>
      <c r="V17" s="1"/>
      <c r="W17" s="44" t="s">
        <v>15</v>
      </c>
      <c r="X17" s="45"/>
      <c r="Y17" s="45"/>
      <c r="Z17" s="45"/>
      <c r="AA17" s="46"/>
      <c r="AB17" s="4"/>
      <c r="AC17" s="1"/>
      <c r="AD17" s="44" t="s">
        <v>14</v>
      </c>
      <c r="AE17" s="45"/>
      <c r="AF17" s="45"/>
      <c r="AG17" s="45"/>
      <c r="AH17" s="46"/>
    </row>
    <row r="18" spans="1:34" ht="15.75" customHeight="1" x14ac:dyDescent="0.2">
      <c r="A18" s="1"/>
      <c r="B18" s="2">
        <v>600</v>
      </c>
      <c r="C18" s="5">
        <f>AVERAGE(K18:M18)</f>
        <v>54176754.666666664</v>
      </c>
      <c r="D18" s="5">
        <f t="shared" ref="D18:D24" si="4">AVERAGE(P18:T18)</f>
        <v>27936056.800000001</v>
      </c>
      <c r="E18" s="5">
        <f t="shared" ref="E18:E28" si="5">MEDIAN(W18:AA18)</f>
        <v>27300004</v>
      </c>
      <c r="F18" s="5">
        <f t="shared" ref="F18:F28" si="6">MEDIAN(AD18:AH18)</f>
        <v>27316870</v>
      </c>
      <c r="G18" s="1"/>
      <c r="H18" s="1">
        <v>600</v>
      </c>
      <c r="I18" s="9">
        <v>56111816</v>
      </c>
      <c r="J18" s="10">
        <v>33395227</v>
      </c>
      <c r="K18" s="10">
        <v>41115523</v>
      </c>
      <c r="L18" s="10">
        <v>78886478</v>
      </c>
      <c r="M18" s="25">
        <v>42528263</v>
      </c>
      <c r="N18" s="14"/>
      <c r="O18" s="1">
        <v>600</v>
      </c>
      <c r="P18" s="9">
        <v>28201410</v>
      </c>
      <c r="Q18" s="10">
        <v>27527928</v>
      </c>
      <c r="R18" s="10">
        <v>27996586</v>
      </c>
      <c r="S18" s="10">
        <v>28261392</v>
      </c>
      <c r="T18" s="25">
        <v>27692968</v>
      </c>
      <c r="U18" s="14"/>
      <c r="V18" s="26">
        <v>600</v>
      </c>
      <c r="W18" s="6">
        <v>27300004</v>
      </c>
      <c r="X18" s="4">
        <v>27397596</v>
      </c>
      <c r="Y18" s="4">
        <v>27219752</v>
      </c>
      <c r="Z18" s="26"/>
      <c r="AA18" s="27"/>
      <c r="AB18" s="26"/>
      <c r="AC18" s="26">
        <v>600</v>
      </c>
      <c r="AD18" s="6">
        <v>27316870</v>
      </c>
      <c r="AE18" s="4">
        <v>27350970</v>
      </c>
      <c r="AF18" s="4">
        <v>27097023</v>
      </c>
      <c r="AG18" s="1"/>
      <c r="AH18" s="8"/>
    </row>
    <row r="19" spans="1:34" ht="15.75" customHeight="1" x14ac:dyDescent="0.2">
      <c r="A19" s="1"/>
      <c r="B19" s="2">
        <v>1000</v>
      </c>
      <c r="C19" s="5">
        <f t="shared" ref="C19:C24" si="7">AVERAGE(I19:M19)</f>
        <v>1158299676.8</v>
      </c>
      <c r="D19" s="5">
        <f t="shared" si="4"/>
        <v>136824611.80000001</v>
      </c>
      <c r="E19" s="5">
        <f t="shared" si="5"/>
        <v>126180079</v>
      </c>
      <c r="F19" s="5">
        <f t="shared" si="6"/>
        <v>119121027</v>
      </c>
      <c r="G19" s="1"/>
      <c r="H19" s="1">
        <v>1000</v>
      </c>
      <c r="I19" s="9">
        <v>1152639994</v>
      </c>
      <c r="J19" s="10">
        <v>1157092441</v>
      </c>
      <c r="K19" s="10">
        <v>1161172640</v>
      </c>
      <c r="L19" s="10">
        <v>1157470396</v>
      </c>
      <c r="M19" s="25">
        <v>1163122913</v>
      </c>
      <c r="N19" s="14"/>
      <c r="O19" s="1">
        <v>1000</v>
      </c>
      <c r="P19" s="9">
        <v>137202479</v>
      </c>
      <c r="Q19" s="10">
        <v>136128875</v>
      </c>
      <c r="R19" s="10">
        <v>136011170</v>
      </c>
      <c r="S19" s="10">
        <v>137988309</v>
      </c>
      <c r="T19" s="25">
        <v>136792226</v>
      </c>
      <c r="U19" s="14"/>
      <c r="V19" s="26">
        <v>1000</v>
      </c>
      <c r="W19" s="6">
        <v>126512626</v>
      </c>
      <c r="X19" s="4">
        <v>126180079</v>
      </c>
      <c r="Y19" s="4">
        <v>126071793</v>
      </c>
      <c r="Z19" s="26"/>
      <c r="AA19" s="27"/>
      <c r="AB19" s="26"/>
      <c r="AC19" s="26">
        <v>1000</v>
      </c>
      <c r="AD19" s="6">
        <v>119974834</v>
      </c>
      <c r="AE19" s="4">
        <v>119121027</v>
      </c>
      <c r="AF19" s="4">
        <v>118107037</v>
      </c>
      <c r="AG19" s="1"/>
      <c r="AH19" s="8"/>
    </row>
    <row r="20" spans="1:34" ht="15.75" customHeight="1" x14ac:dyDescent="0.2">
      <c r="A20" s="1"/>
      <c r="B20" s="2">
        <v>1400</v>
      </c>
      <c r="C20" s="5">
        <f t="shared" si="7"/>
        <v>3182885685</v>
      </c>
      <c r="D20" s="5">
        <f t="shared" si="4"/>
        <v>396154460.60000002</v>
      </c>
      <c r="E20" s="5">
        <f t="shared" si="5"/>
        <v>349564278</v>
      </c>
      <c r="F20" s="5">
        <f t="shared" si="6"/>
        <v>331810215</v>
      </c>
      <c r="G20" s="1"/>
      <c r="H20" s="1">
        <v>1400</v>
      </c>
      <c r="I20" s="9">
        <v>3191662632</v>
      </c>
      <c r="J20" s="10">
        <v>3182752096</v>
      </c>
      <c r="K20" s="10">
        <v>3179807315</v>
      </c>
      <c r="L20" s="10">
        <v>3179903144</v>
      </c>
      <c r="M20" s="25">
        <v>3180303238</v>
      </c>
      <c r="N20" s="14"/>
      <c r="O20" s="1">
        <v>1400</v>
      </c>
      <c r="P20" s="9">
        <v>402565279</v>
      </c>
      <c r="Q20" s="10">
        <v>396299383</v>
      </c>
      <c r="R20" s="10">
        <v>392892269</v>
      </c>
      <c r="S20" s="10">
        <v>393077078</v>
      </c>
      <c r="T20" s="25">
        <v>395938294</v>
      </c>
      <c r="U20" s="14"/>
      <c r="V20" s="26">
        <v>1400</v>
      </c>
      <c r="W20" s="6">
        <v>352580060</v>
      </c>
      <c r="X20" s="4">
        <v>349564278</v>
      </c>
      <c r="Y20" s="4">
        <v>346839963</v>
      </c>
      <c r="Z20" s="26"/>
      <c r="AA20" s="27"/>
      <c r="AB20" s="26"/>
      <c r="AC20" s="26">
        <v>1400</v>
      </c>
      <c r="AD20" s="6">
        <v>332318798</v>
      </c>
      <c r="AE20" s="4">
        <v>331810215</v>
      </c>
      <c r="AF20" s="4">
        <v>329936325</v>
      </c>
      <c r="AG20" s="1"/>
      <c r="AH20" s="8"/>
    </row>
    <row r="21" spans="1:34" ht="15.75" customHeight="1" x14ac:dyDescent="0.2">
      <c r="A21" s="1"/>
      <c r="B21" s="2">
        <v>1800</v>
      </c>
      <c r="C21" s="5">
        <f t="shared" si="7"/>
        <v>7743527715.1999998</v>
      </c>
      <c r="D21" s="5">
        <f t="shared" si="4"/>
        <v>895314674.20000005</v>
      </c>
      <c r="E21" s="5">
        <f t="shared" si="5"/>
        <v>761501759</v>
      </c>
      <c r="F21" s="5">
        <f t="shared" si="6"/>
        <v>707991651</v>
      </c>
      <c r="G21" s="1"/>
      <c r="H21" s="1">
        <v>1800</v>
      </c>
      <c r="I21" s="9">
        <v>7790338140</v>
      </c>
      <c r="J21" s="10">
        <v>7769026781</v>
      </c>
      <c r="K21" s="10">
        <v>7723375342</v>
      </c>
      <c r="L21" s="10">
        <v>7728919934</v>
      </c>
      <c r="M21" s="25">
        <v>7705978379</v>
      </c>
      <c r="N21" s="14"/>
      <c r="O21" s="1">
        <v>1800</v>
      </c>
      <c r="P21" s="9">
        <v>925423272</v>
      </c>
      <c r="Q21" s="10">
        <v>912999135</v>
      </c>
      <c r="R21" s="10">
        <v>880476780</v>
      </c>
      <c r="S21" s="10">
        <v>893369489</v>
      </c>
      <c r="T21" s="25">
        <v>864304695</v>
      </c>
      <c r="U21" s="14"/>
      <c r="V21" s="26">
        <v>1800</v>
      </c>
      <c r="W21" s="6">
        <v>768132339</v>
      </c>
      <c r="X21" s="4">
        <v>761501759</v>
      </c>
      <c r="Y21" s="4">
        <v>751466747</v>
      </c>
      <c r="Z21" s="26"/>
      <c r="AA21" s="27"/>
      <c r="AB21" s="26"/>
      <c r="AC21" s="26">
        <v>1800</v>
      </c>
      <c r="AD21" s="6">
        <v>710672901</v>
      </c>
      <c r="AE21" s="4">
        <v>707991651</v>
      </c>
      <c r="AF21" s="4">
        <v>706373787</v>
      </c>
      <c r="AG21" s="1"/>
      <c r="AH21" s="8"/>
    </row>
    <row r="22" spans="1:34" ht="15.75" customHeight="1" x14ac:dyDescent="0.2">
      <c r="A22" s="1"/>
      <c r="B22" s="2">
        <v>2200</v>
      </c>
      <c r="C22" s="5">
        <f t="shared" si="7"/>
        <v>16246973315.4</v>
      </c>
      <c r="D22" s="5">
        <f t="shared" si="4"/>
        <v>2158611430.5999999</v>
      </c>
      <c r="E22" s="5">
        <f t="shared" si="5"/>
        <v>1393440267</v>
      </c>
      <c r="F22" s="5">
        <f t="shared" si="6"/>
        <v>1289437727</v>
      </c>
      <c r="G22" s="1"/>
      <c r="H22" s="1">
        <v>2200</v>
      </c>
      <c r="I22" s="9">
        <v>16326281609</v>
      </c>
      <c r="J22" s="10">
        <v>16338148520</v>
      </c>
      <c r="K22" s="10">
        <v>16027561521</v>
      </c>
      <c r="L22" s="10">
        <v>16261732762</v>
      </c>
      <c r="M22" s="25">
        <v>16281142165</v>
      </c>
      <c r="N22" s="14"/>
      <c r="O22" s="1">
        <v>2200</v>
      </c>
      <c r="P22" s="9">
        <v>1993303303</v>
      </c>
      <c r="Q22" s="10">
        <v>2235882350</v>
      </c>
      <c r="R22" s="10">
        <v>2257897533</v>
      </c>
      <c r="S22" s="10">
        <v>2140152450</v>
      </c>
      <c r="T22" s="25">
        <v>2165821517</v>
      </c>
      <c r="U22" s="14"/>
      <c r="V22" s="26">
        <v>2200</v>
      </c>
      <c r="W22" s="6">
        <v>1465458316</v>
      </c>
      <c r="X22" s="4">
        <v>1393440267</v>
      </c>
      <c r="Y22" s="4">
        <v>1377641033</v>
      </c>
      <c r="Z22" s="26"/>
      <c r="AA22" s="27"/>
      <c r="AB22" s="26"/>
      <c r="AC22" s="26">
        <v>2200</v>
      </c>
      <c r="AD22" s="6">
        <v>1298025994</v>
      </c>
      <c r="AE22" s="4">
        <v>1289437727</v>
      </c>
      <c r="AF22" s="4">
        <v>1288227114</v>
      </c>
      <c r="AG22" s="1"/>
      <c r="AH22" s="8"/>
    </row>
    <row r="23" spans="1:34" ht="15.75" customHeight="1" x14ac:dyDescent="0.2">
      <c r="A23" s="1"/>
      <c r="B23" s="2">
        <v>2600</v>
      </c>
      <c r="C23" s="5">
        <f t="shared" si="7"/>
        <v>29385801361.400002</v>
      </c>
      <c r="D23" s="5">
        <f t="shared" si="4"/>
        <v>8559374284</v>
      </c>
      <c r="E23" s="5">
        <f t="shared" si="5"/>
        <v>2448975435</v>
      </c>
      <c r="F23" s="5">
        <f t="shared" si="6"/>
        <v>2147055791</v>
      </c>
      <c r="G23" s="1"/>
      <c r="H23" s="1">
        <v>2600</v>
      </c>
      <c r="I23" s="9">
        <v>29270420794</v>
      </c>
      <c r="J23" s="10">
        <v>29549352427</v>
      </c>
      <c r="K23" s="10">
        <v>29413303443</v>
      </c>
      <c r="L23" s="10">
        <v>29408705152</v>
      </c>
      <c r="M23" s="25">
        <v>29287224991</v>
      </c>
      <c r="N23" s="14"/>
      <c r="O23" s="1">
        <v>2600</v>
      </c>
      <c r="P23" s="9">
        <v>6071431599</v>
      </c>
      <c r="Q23" s="10">
        <v>9686214637</v>
      </c>
      <c r="R23" s="10">
        <v>13587524790</v>
      </c>
      <c r="S23" s="10">
        <v>6566226603</v>
      </c>
      <c r="T23" s="25">
        <v>6885473791</v>
      </c>
      <c r="U23" s="14"/>
      <c r="V23" s="26">
        <v>2600</v>
      </c>
      <c r="W23" s="6">
        <v>2448975435</v>
      </c>
      <c r="X23" s="4">
        <v>2466515396</v>
      </c>
      <c r="Y23" s="4">
        <v>2431865724</v>
      </c>
      <c r="Z23" s="26"/>
      <c r="AA23" s="27"/>
      <c r="AB23" s="26"/>
      <c r="AC23" s="26">
        <v>2600</v>
      </c>
      <c r="AD23" s="6">
        <v>2151726406</v>
      </c>
      <c r="AE23" s="4">
        <v>2147055791</v>
      </c>
      <c r="AF23" s="4">
        <v>2142230302</v>
      </c>
      <c r="AG23" s="1"/>
      <c r="AH23" s="8"/>
    </row>
    <row r="24" spans="1:34" ht="15.75" customHeight="1" x14ac:dyDescent="0.2">
      <c r="A24" s="1"/>
      <c r="B24" s="2">
        <v>3000</v>
      </c>
      <c r="C24" s="5">
        <f t="shared" si="7"/>
        <v>48517989776</v>
      </c>
      <c r="D24" s="5">
        <f t="shared" si="4"/>
        <v>29980183697</v>
      </c>
      <c r="E24" s="5">
        <f t="shared" si="5"/>
        <v>4003710323</v>
      </c>
      <c r="F24" s="5">
        <f t="shared" si="6"/>
        <v>3314738412</v>
      </c>
      <c r="G24" s="1"/>
      <c r="H24" s="1">
        <v>3000</v>
      </c>
      <c r="I24" s="20">
        <v>48597085069</v>
      </c>
      <c r="J24" s="21">
        <v>48257053650</v>
      </c>
      <c r="K24" s="21">
        <v>48514824045</v>
      </c>
      <c r="L24" s="21">
        <v>48493826969</v>
      </c>
      <c r="M24" s="28">
        <v>48727159147</v>
      </c>
      <c r="N24" s="14"/>
      <c r="O24" s="1">
        <v>3000</v>
      </c>
      <c r="P24" s="20">
        <v>35290841126</v>
      </c>
      <c r="Q24" s="21">
        <v>29738012720</v>
      </c>
      <c r="R24" s="21">
        <v>24292661019</v>
      </c>
      <c r="S24" s="21">
        <v>28757776942</v>
      </c>
      <c r="T24" s="28">
        <v>31821626678</v>
      </c>
      <c r="U24" s="14"/>
      <c r="V24" s="26">
        <v>3000</v>
      </c>
      <c r="W24" s="6">
        <v>3845533881</v>
      </c>
      <c r="X24" s="4">
        <v>4003710323</v>
      </c>
      <c r="Y24" s="4">
        <v>4046061685</v>
      </c>
      <c r="Z24" s="26"/>
      <c r="AA24" s="27"/>
      <c r="AB24" s="26"/>
      <c r="AC24" s="26">
        <v>3000</v>
      </c>
      <c r="AD24" s="6">
        <v>3324766860</v>
      </c>
      <c r="AE24" s="4">
        <v>3314738412</v>
      </c>
      <c r="AF24" s="4">
        <v>3311537576</v>
      </c>
      <c r="AG24" s="1"/>
      <c r="AH24" s="8"/>
    </row>
    <row r="25" spans="1:34" ht="15.75" customHeight="1" x14ac:dyDescent="0.2">
      <c r="A25" s="1"/>
      <c r="B25" s="2">
        <v>4096</v>
      </c>
      <c r="C25" s="5"/>
      <c r="D25" s="5"/>
      <c r="E25" s="5">
        <f t="shared" si="5"/>
        <v>12438478241</v>
      </c>
      <c r="F25" s="5">
        <f t="shared" si="6"/>
        <v>8395564742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6">
        <v>4096</v>
      </c>
      <c r="W25" s="6">
        <v>12625238949</v>
      </c>
      <c r="X25" s="4">
        <v>12438478241</v>
      </c>
      <c r="Y25" s="4">
        <v>12348758707</v>
      </c>
      <c r="Z25" s="26"/>
      <c r="AA25" s="27"/>
      <c r="AB25" s="26"/>
      <c r="AC25" s="26">
        <v>4096</v>
      </c>
      <c r="AD25" s="6">
        <v>8435709732</v>
      </c>
      <c r="AE25" s="4">
        <v>8395564742</v>
      </c>
      <c r="AF25" s="4">
        <v>8353004690</v>
      </c>
      <c r="AG25" s="1"/>
      <c r="AH25" s="8"/>
    </row>
    <row r="26" spans="1:34" ht="15.75" customHeight="1" x14ac:dyDescent="0.2">
      <c r="A26" s="1"/>
      <c r="B26" s="2">
        <v>6144</v>
      </c>
      <c r="C26" s="5"/>
      <c r="D26" s="29"/>
      <c r="E26" s="5">
        <f t="shared" si="5"/>
        <v>57961921192</v>
      </c>
      <c r="F26" s="5">
        <f t="shared" si="6"/>
        <v>28072914989</v>
      </c>
      <c r="G26" s="1"/>
      <c r="H26" s="1"/>
      <c r="I26" s="1"/>
      <c r="J26" s="14"/>
      <c r="K26" s="1"/>
      <c r="L26" s="14"/>
      <c r="M26" s="1"/>
      <c r="N26" s="1"/>
      <c r="O26" s="14"/>
      <c r="P26" s="1"/>
      <c r="Q26" s="14"/>
      <c r="R26" s="1"/>
      <c r="S26" s="1"/>
      <c r="T26" s="1"/>
      <c r="U26" s="1"/>
      <c r="V26" s="26">
        <v>6144</v>
      </c>
      <c r="W26" s="6">
        <v>57960894854</v>
      </c>
      <c r="X26" s="4">
        <v>57961921192</v>
      </c>
      <c r="Y26" s="4">
        <v>57965643122</v>
      </c>
      <c r="Z26" s="26"/>
      <c r="AA26" s="27"/>
      <c r="AB26" s="26"/>
      <c r="AC26" s="26">
        <v>6144</v>
      </c>
      <c r="AD26" s="6">
        <v>28256013997</v>
      </c>
      <c r="AE26" s="4">
        <v>28034137910</v>
      </c>
      <c r="AF26" s="4">
        <v>28072914989</v>
      </c>
      <c r="AG26" s="1"/>
      <c r="AH26" s="8"/>
    </row>
    <row r="27" spans="1:34" ht="15.75" customHeight="1" x14ac:dyDescent="0.2">
      <c r="A27" s="1"/>
      <c r="B27" s="2">
        <v>8192</v>
      </c>
      <c r="C27" s="29"/>
      <c r="D27" s="29"/>
      <c r="E27" s="5">
        <f t="shared" si="5"/>
        <v>137847620016</v>
      </c>
      <c r="F27" s="5">
        <f t="shared" si="6"/>
        <v>67116595492</v>
      </c>
      <c r="G27" s="1"/>
      <c r="H27" s="14"/>
      <c r="I27" s="1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6">
        <v>8192</v>
      </c>
      <c r="W27" s="6">
        <v>137847620016</v>
      </c>
      <c r="X27" s="4">
        <v>137847620016</v>
      </c>
      <c r="Y27" s="4">
        <v>137847620016</v>
      </c>
      <c r="Z27" s="26"/>
      <c r="AA27" s="27"/>
      <c r="AB27" s="26"/>
      <c r="AC27" s="26">
        <v>8192</v>
      </c>
      <c r="AD27" s="6">
        <v>67116595492</v>
      </c>
      <c r="AE27" s="4">
        <v>66862321847</v>
      </c>
      <c r="AF27" s="4">
        <v>67337587072</v>
      </c>
      <c r="AG27" s="1"/>
      <c r="AH27" s="8"/>
    </row>
    <row r="28" spans="1:34" ht="15.75" customHeight="1" x14ac:dyDescent="0.2">
      <c r="A28" s="1"/>
      <c r="B28" s="2">
        <v>10240</v>
      </c>
      <c r="C28" s="29"/>
      <c r="D28" s="29"/>
      <c r="E28" s="5">
        <f t="shared" si="5"/>
        <v>269044456154</v>
      </c>
      <c r="F28" s="5">
        <f t="shared" si="6"/>
        <v>131830687343</v>
      </c>
      <c r="G28" s="1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6">
        <v>10240</v>
      </c>
      <c r="W28" s="11">
        <v>269109278771</v>
      </c>
      <c r="X28" s="12">
        <v>268971497689</v>
      </c>
      <c r="Y28" s="12">
        <v>269044456154</v>
      </c>
      <c r="Z28" s="30"/>
      <c r="AA28" s="31"/>
      <c r="AB28" s="26"/>
      <c r="AC28" s="26">
        <v>10240</v>
      </c>
      <c r="AD28" s="11">
        <v>132573523048</v>
      </c>
      <c r="AE28" s="12">
        <v>131064093843</v>
      </c>
      <c r="AF28" s="12">
        <v>131830687343</v>
      </c>
      <c r="AG28" s="16"/>
      <c r="AH28" s="17"/>
    </row>
    <row r="29" spans="1:34" ht="15.75" customHeight="1" x14ac:dyDescent="0.2">
      <c r="B29" s="14"/>
      <c r="C29" s="14"/>
      <c r="D29" s="14"/>
      <c r="H29" s="14"/>
      <c r="I29" s="32"/>
      <c r="J29" s="32"/>
      <c r="K29" s="32"/>
      <c r="L29" s="1"/>
      <c r="M29" s="32"/>
      <c r="N29" s="32"/>
      <c r="O29" s="32"/>
      <c r="P29" s="32"/>
      <c r="Q29" s="32"/>
      <c r="R29" s="32"/>
      <c r="Y29" s="1"/>
      <c r="Z29" s="1"/>
      <c r="AA29" s="1"/>
    </row>
    <row r="30" spans="1:34" ht="15.75" customHeight="1" x14ac:dyDescent="0.2">
      <c r="B30" s="14"/>
      <c r="C30" s="14"/>
      <c r="D30" s="14"/>
      <c r="F30" s="14"/>
      <c r="G30" s="14"/>
      <c r="H30" s="14"/>
      <c r="I30" s="32"/>
      <c r="J30" s="32"/>
      <c r="K30" s="32"/>
      <c r="L30" s="1"/>
      <c r="M30" s="32"/>
      <c r="N30" s="32"/>
      <c r="O30" s="32"/>
      <c r="P30" s="32"/>
      <c r="Q30" s="32"/>
      <c r="R30" s="32"/>
      <c r="Y30" s="1"/>
      <c r="Z30" s="1"/>
      <c r="AA30" s="1"/>
    </row>
    <row r="31" spans="1:34" ht="15.75" customHeight="1" x14ac:dyDescent="0.2">
      <c r="B31" s="14"/>
      <c r="C31" s="14"/>
      <c r="D31" s="14"/>
      <c r="F31" s="14"/>
      <c r="G31" s="14"/>
      <c r="H31" s="1"/>
      <c r="I31" s="32"/>
      <c r="J31" s="32"/>
      <c r="K31" s="14"/>
      <c r="L31" s="1"/>
      <c r="M31" s="14"/>
      <c r="N31" s="14"/>
      <c r="O31" s="14"/>
      <c r="P31" s="32"/>
      <c r="Q31" s="14"/>
      <c r="R31" s="32"/>
      <c r="Y31" s="1"/>
      <c r="Z31" s="1"/>
      <c r="AA31" s="1"/>
    </row>
    <row r="32" spans="1:34" ht="15.75" customHeight="1" x14ac:dyDescent="0.2">
      <c r="A32" s="1" t="s">
        <v>16</v>
      </c>
      <c r="B32" s="33" t="s">
        <v>1</v>
      </c>
      <c r="C32" s="34" t="s">
        <v>17</v>
      </c>
      <c r="D32" s="34" t="s">
        <v>18</v>
      </c>
      <c r="F32" s="14"/>
      <c r="G32" s="14"/>
      <c r="H32" s="1"/>
      <c r="I32" s="32"/>
      <c r="J32" s="32"/>
      <c r="K32" s="14"/>
      <c r="L32" s="1"/>
      <c r="M32" s="14"/>
      <c r="N32" s="4"/>
      <c r="O32" s="1"/>
      <c r="P32" s="32"/>
      <c r="Q32" s="14"/>
      <c r="R32" s="32"/>
      <c r="U32" s="4"/>
      <c r="V32" s="1"/>
      <c r="W32" s="44" t="s">
        <v>19</v>
      </c>
      <c r="X32" s="45"/>
      <c r="Y32" s="45"/>
      <c r="Z32" s="45"/>
      <c r="AA32" s="46"/>
      <c r="AB32" s="4"/>
      <c r="AC32" s="1"/>
      <c r="AD32" s="44" t="s">
        <v>20</v>
      </c>
      <c r="AE32" s="45"/>
      <c r="AF32" s="45"/>
      <c r="AG32" s="45"/>
      <c r="AH32" s="46"/>
    </row>
    <row r="33" spans="1:34" ht="15.75" customHeight="1" x14ac:dyDescent="0.2">
      <c r="B33" s="2">
        <v>600</v>
      </c>
      <c r="C33" s="5">
        <f t="shared" ref="C33:C39" si="8">AVERAGE(W33:Y33)</f>
        <v>0.10766666666666667</v>
      </c>
      <c r="D33" s="29">
        <f t="shared" ref="D33:D39" si="9">AVERAGE(AD33:AF33)</f>
        <v>0.217</v>
      </c>
      <c r="F33" s="14"/>
      <c r="G33" s="14"/>
      <c r="H33" s="1"/>
      <c r="I33" s="32"/>
      <c r="J33" s="32"/>
      <c r="K33" s="14"/>
      <c r="L33" s="1"/>
      <c r="M33" s="14"/>
      <c r="N33" s="1"/>
      <c r="O33" s="1"/>
      <c r="P33" s="32"/>
      <c r="Q33" s="14"/>
      <c r="R33" s="32"/>
      <c r="U33" s="1"/>
      <c r="V33" s="1">
        <v>600</v>
      </c>
      <c r="W33" s="6">
        <v>0.13800000000000001</v>
      </c>
      <c r="X33" s="4">
        <v>7.9000000000000001E-2</v>
      </c>
      <c r="Y33" s="4">
        <v>0.106</v>
      </c>
      <c r="Z33" s="1"/>
      <c r="AA33" s="8"/>
      <c r="AB33" s="1"/>
      <c r="AC33" s="1">
        <v>600</v>
      </c>
      <c r="AD33" s="6">
        <v>0.20499999999999999</v>
      </c>
      <c r="AE33" s="4">
        <v>0.25900000000000001</v>
      </c>
      <c r="AF33" s="1">
        <v>0.187</v>
      </c>
      <c r="AG33" s="1"/>
      <c r="AH33" s="8"/>
    </row>
    <row r="34" spans="1:34" ht="15.75" customHeight="1" x14ac:dyDescent="0.2">
      <c r="B34" s="2">
        <v>1000</v>
      </c>
      <c r="C34" s="5">
        <f t="shared" si="8"/>
        <v>0.40466666666666667</v>
      </c>
      <c r="D34" s="29">
        <f t="shared" si="9"/>
        <v>0.70433333333333337</v>
      </c>
      <c r="F34" s="14"/>
      <c r="G34" s="14"/>
      <c r="H34" s="1"/>
      <c r="I34" s="32"/>
      <c r="J34" s="32"/>
      <c r="K34" s="14"/>
      <c r="L34" s="1"/>
      <c r="M34" s="14"/>
      <c r="N34" s="1"/>
      <c r="O34" s="1"/>
      <c r="P34" s="32"/>
      <c r="Q34" s="14"/>
      <c r="R34" s="32"/>
      <c r="U34" s="1"/>
      <c r="V34" s="1">
        <v>1000</v>
      </c>
      <c r="W34" s="6">
        <v>0.501</v>
      </c>
      <c r="X34" s="4">
        <v>0.39200000000000002</v>
      </c>
      <c r="Y34" s="4">
        <v>0.32100000000000001</v>
      </c>
      <c r="Z34" s="1"/>
      <c r="AA34" s="8"/>
      <c r="AB34" s="1"/>
      <c r="AC34" s="1">
        <v>1000</v>
      </c>
      <c r="AD34" s="6">
        <v>0.70199999999999996</v>
      </c>
      <c r="AE34" s="4">
        <v>0.70399999999999996</v>
      </c>
      <c r="AF34" s="1">
        <v>0.70699999999999996</v>
      </c>
      <c r="AG34" s="1"/>
      <c r="AH34" s="8"/>
    </row>
    <row r="35" spans="1:34" ht="15.75" customHeight="1" x14ac:dyDescent="0.2">
      <c r="B35" s="2">
        <v>1400</v>
      </c>
      <c r="C35" s="5">
        <f t="shared" si="8"/>
        <v>1.0069999999999999</v>
      </c>
      <c r="D35" s="29">
        <f t="shared" si="9"/>
        <v>2.0293333333333332</v>
      </c>
      <c r="F35" s="14"/>
      <c r="G35" s="14"/>
      <c r="H35" s="1"/>
      <c r="I35" s="32"/>
      <c r="J35" s="32"/>
      <c r="K35" s="14"/>
      <c r="L35" s="1"/>
      <c r="M35" s="14"/>
      <c r="N35" s="1"/>
      <c r="O35" s="1"/>
      <c r="P35" s="32"/>
      <c r="Q35" s="14"/>
      <c r="R35" s="32"/>
      <c r="U35" s="1"/>
      <c r="V35" s="1">
        <v>1400</v>
      </c>
      <c r="W35" s="6">
        <v>1.04</v>
      </c>
      <c r="X35" s="4">
        <v>0.99099999999999999</v>
      </c>
      <c r="Y35" s="4">
        <v>0.99</v>
      </c>
      <c r="Z35" s="1"/>
      <c r="AA35" s="8"/>
      <c r="AB35" s="1"/>
      <c r="AC35" s="1">
        <v>1400</v>
      </c>
      <c r="AD35" s="6">
        <v>1.6659999999999999</v>
      </c>
      <c r="AE35" s="4">
        <v>2.1589999999999998</v>
      </c>
      <c r="AF35" s="1">
        <v>2.2629999999999999</v>
      </c>
      <c r="AG35" s="1"/>
      <c r="AH35" s="8"/>
    </row>
    <row r="36" spans="1:34" ht="15.75" customHeight="1" x14ac:dyDescent="0.2">
      <c r="B36" s="2">
        <v>1800</v>
      </c>
      <c r="C36" s="5">
        <f t="shared" si="8"/>
        <v>2.4833333333333334</v>
      </c>
      <c r="D36" s="29">
        <f t="shared" si="9"/>
        <v>4.0683333333333334</v>
      </c>
      <c r="F36" s="14"/>
      <c r="G36" s="14"/>
      <c r="H36" s="1"/>
      <c r="I36" s="32"/>
      <c r="J36" s="32"/>
      <c r="K36" s="14"/>
      <c r="L36" s="1"/>
      <c r="M36" s="14"/>
      <c r="N36" s="1"/>
      <c r="O36" s="1"/>
      <c r="P36" s="32"/>
      <c r="Q36" s="14"/>
      <c r="R36" s="32"/>
      <c r="U36" s="1"/>
      <c r="V36" s="1">
        <v>1800</v>
      </c>
      <c r="W36" s="6">
        <v>2.3679999999999999</v>
      </c>
      <c r="X36" s="4">
        <v>2.3050000000000002</v>
      </c>
      <c r="Y36" s="4">
        <v>2.7770000000000001</v>
      </c>
      <c r="Z36" s="1"/>
      <c r="AA36" s="8"/>
      <c r="AB36" s="1"/>
      <c r="AC36" s="1">
        <v>1800</v>
      </c>
      <c r="AD36" s="6">
        <v>3.7040000000000002</v>
      </c>
      <c r="AE36" s="4">
        <v>3.585</v>
      </c>
      <c r="AF36" s="1">
        <v>4.9160000000000004</v>
      </c>
      <c r="AG36" s="1"/>
      <c r="AH36" s="8"/>
    </row>
    <row r="37" spans="1:34" ht="15.75" customHeight="1" x14ac:dyDescent="0.2">
      <c r="B37" s="2">
        <v>2200</v>
      </c>
      <c r="C37" s="5">
        <f t="shared" si="8"/>
        <v>5.4420000000000002</v>
      </c>
      <c r="D37" s="29">
        <f t="shared" si="9"/>
        <v>8.1433333333333326</v>
      </c>
      <c r="F37" s="14"/>
      <c r="G37" s="14"/>
      <c r="H37" s="1"/>
      <c r="I37" s="32"/>
      <c r="J37" s="32"/>
      <c r="K37" s="14"/>
      <c r="L37" s="1"/>
      <c r="M37" s="14"/>
      <c r="N37" s="1"/>
      <c r="O37" s="1"/>
      <c r="P37" s="32"/>
      <c r="Q37" s="14"/>
      <c r="R37" s="32"/>
      <c r="U37" s="1"/>
      <c r="V37" s="1">
        <v>2200</v>
      </c>
      <c r="W37" s="6">
        <v>6.0570000000000004</v>
      </c>
      <c r="X37" s="4">
        <v>4.726</v>
      </c>
      <c r="Y37" s="4">
        <v>5.5430000000000001</v>
      </c>
      <c r="Z37" s="1"/>
      <c r="AA37" s="8"/>
      <c r="AB37" s="1"/>
      <c r="AC37" s="1">
        <v>2200</v>
      </c>
      <c r="AD37" s="6">
        <v>7.6980000000000004</v>
      </c>
      <c r="AE37" s="4">
        <v>8.2330000000000005</v>
      </c>
      <c r="AF37" s="1">
        <v>8.4990000000000006</v>
      </c>
      <c r="AG37" s="1"/>
      <c r="AH37" s="8"/>
    </row>
    <row r="38" spans="1:34" ht="15.75" customHeight="1" x14ac:dyDescent="0.2">
      <c r="B38" s="2">
        <v>2600</v>
      </c>
      <c r="C38" s="5">
        <f t="shared" si="8"/>
        <v>7.0960000000000001</v>
      </c>
      <c r="D38" s="29">
        <f t="shared" si="9"/>
        <v>10.799666666666667</v>
      </c>
      <c r="F38" s="14"/>
      <c r="G38" s="14"/>
      <c r="H38" s="1"/>
      <c r="I38" s="32"/>
      <c r="J38" s="32"/>
      <c r="K38" s="14"/>
      <c r="L38" s="1"/>
      <c r="M38" s="14"/>
      <c r="N38" s="1"/>
      <c r="O38" s="1"/>
      <c r="P38" s="32"/>
      <c r="Q38" s="14"/>
      <c r="R38" s="32"/>
      <c r="U38" s="1"/>
      <c r="V38" s="1">
        <v>2600</v>
      </c>
      <c r="W38" s="6">
        <v>6.8620000000000001</v>
      </c>
      <c r="X38" s="4">
        <v>6.8639999999999999</v>
      </c>
      <c r="Y38" s="4">
        <v>7.5620000000000003</v>
      </c>
      <c r="Z38" s="1"/>
      <c r="AA38" s="8"/>
      <c r="AB38" s="1"/>
      <c r="AC38" s="1">
        <v>2600</v>
      </c>
      <c r="AD38" s="6">
        <v>8.5169999999999995</v>
      </c>
      <c r="AE38" s="4">
        <v>11.867000000000001</v>
      </c>
      <c r="AF38" s="1">
        <v>12.015000000000001</v>
      </c>
      <c r="AG38" s="1"/>
      <c r="AH38" s="8"/>
    </row>
    <row r="39" spans="1:34" ht="15.75" customHeight="1" x14ac:dyDescent="0.2">
      <c r="B39" s="2">
        <v>3000</v>
      </c>
      <c r="C39" s="5">
        <f t="shared" si="8"/>
        <v>11.824</v>
      </c>
      <c r="D39" s="29">
        <f t="shared" si="9"/>
        <v>13.297666666666666</v>
      </c>
      <c r="F39" s="14"/>
      <c r="G39" s="14"/>
      <c r="H39" s="1"/>
      <c r="I39" s="32"/>
      <c r="J39" s="32"/>
      <c r="K39" s="14"/>
      <c r="L39" s="1"/>
      <c r="M39" s="14"/>
      <c r="N39" s="1"/>
      <c r="O39" s="1"/>
      <c r="P39" s="32"/>
      <c r="Q39" s="14"/>
      <c r="R39" s="32"/>
      <c r="U39" s="1"/>
      <c r="V39" s="1">
        <v>3000</v>
      </c>
      <c r="W39" s="6">
        <v>11.97</v>
      </c>
      <c r="X39" s="4">
        <v>11.512</v>
      </c>
      <c r="Y39" s="4">
        <v>11.99</v>
      </c>
      <c r="Z39" s="1"/>
      <c r="AA39" s="8"/>
      <c r="AB39" s="1"/>
      <c r="AC39" s="1">
        <v>3000</v>
      </c>
      <c r="AD39" s="6">
        <v>13.923</v>
      </c>
      <c r="AE39" s="4">
        <v>12.932</v>
      </c>
      <c r="AF39" s="1">
        <v>13.038</v>
      </c>
      <c r="AG39" s="1"/>
      <c r="AH39" s="8"/>
    </row>
    <row r="40" spans="1:34" ht="18.75" customHeight="1" x14ac:dyDescent="0.2">
      <c r="B40" s="33">
        <v>4096</v>
      </c>
      <c r="C40" s="5">
        <f t="shared" ref="C40:C43" si="10">AVERAGE(W40:X40)</f>
        <v>28.528499999999998</v>
      </c>
      <c r="D40" s="29">
        <f t="shared" ref="D40:D43" si="11">AVERAGE(AD40:AE40)</f>
        <v>37.453500000000005</v>
      </c>
      <c r="F40" s="14"/>
      <c r="G40" s="14"/>
      <c r="H40" s="1"/>
      <c r="I40" s="32"/>
      <c r="J40" s="32"/>
      <c r="K40" s="14"/>
      <c r="L40" s="1"/>
      <c r="M40" s="14"/>
      <c r="N40" s="14"/>
      <c r="O40" s="14"/>
      <c r="P40" s="32"/>
      <c r="Q40" s="14"/>
      <c r="R40" s="32"/>
      <c r="V40" s="1">
        <v>4096</v>
      </c>
      <c r="W40" s="6">
        <v>33.156999999999996</v>
      </c>
      <c r="X40" s="4">
        <v>23.9</v>
      </c>
      <c r="Y40" s="4"/>
      <c r="Z40" s="1"/>
      <c r="AA40" s="8"/>
      <c r="AB40" s="1"/>
      <c r="AC40" s="1">
        <v>4096</v>
      </c>
      <c r="AD40" s="6">
        <v>41.206000000000003</v>
      </c>
      <c r="AE40" s="4">
        <v>33.701000000000001</v>
      </c>
      <c r="AF40" s="1"/>
      <c r="AG40" s="1"/>
      <c r="AH40" s="8"/>
    </row>
    <row r="41" spans="1:34" ht="15.75" customHeight="1" x14ac:dyDescent="0.2">
      <c r="B41" s="33">
        <v>6144</v>
      </c>
      <c r="C41" s="5">
        <f t="shared" si="10"/>
        <v>115.0735</v>
      </c>
      <c r="D41" s="29">
        <f t="shared" si="11"/>
        <v>136.50700000000001</v>
      </c>
      <c r="F41" s="14"/>
      <c r="G41" s="14"/>
      <c r="H41" s="14"/>
      <c r="I41" s="14"/>
      <c r="J41" s="32"/>
      <c r="K41" s="14"/>
      <c r="L41" s="1"/>
      <c r="M41" s="14"/>
      <c r="N41" s="14"/>
      <c r="O41" s="14"/>
      <c r="P41" s="32"/>
      <c r="Q41" s="14"/>
      <c r="R41" s="32"/>
      <c r="V41" s="1">
        <v>6144</v>
      </c>
      <c r="W41" s="6">
        <v>127.873</v>
      </c>
      <c r="X41" s="4">
        <v>102.274</v>
      </c>
      <c r="Y41" s="4"/>
      <c r="Z41" s="1"/>
      <c r="AA41" s="8"/>
      <c r="AB41" s="1"/>
      <c r="AC41" s="1">
        <v>6144</v>
      </c>
      <c r="AD41" s="6">
        <v>154.36199999999999</v>
      </c>
      <c r="AE41" s="4">
        <v>118.652</v>
      </c>
      <c r="AF41" s="1"/>
      <c r="AG41" s="1"/>
      <c r="AH41" s="8"/>
    </row>
    <row r="42" spans="1:34" ht="15.75" customHeight="1" x14ac:dyDescent="0.2">
      <c r="B42" s="33">
        <v>8192</v>
      </c>
      <c r="C42" s="5">
        <f t="shared" si="10"/>
        <v>254.827</v>
      </c>
      <c r="D42" s="29">
        <f t="shared" si="11"/>
        <v>327.78300000000002</v>
      </c>
      <c r="F42" s="14"/>
      <c r="G42" s="14"/>
      <c r="H42" s="14"/>
      <c r="I42" s="14"/>
      <c r="J42" s="32"/>
      <c r="K42" s="14"/>
      <c r="L42" s="1"/>
      <c r="M42" s="14"/>
      <c r="N42" s="14"/>
      <c r="O42" s="14"/>
      <c r="P42" s="14"/>
      <c r="Q42" s="14"/>
      <c r="V42" s="1">
        <v>8192</v>
      </c>
      <c r="W42" s="6">
        <v>262.06099999999998</v>
      </c>
      <c r="X42" s="4">
        <v>247.59299999999999</v>
      </c>
      <c r="Y42" s="4"/>
      <c r="Z42" s="1"/>
      <c r="AA42" s="8"/>
      <c r="AB42" s="1"/>
      <c r="AC42" s="1">
        <v>8192</v>
      </c>
      <c r="AD42" s="6">
        <v>330.79199999999997</v>
      </c>
      <c r="AE42" s="4">
        <v>324.774</v>
      </c>
      <c r="AF42" s="1"/>
      <c r="AG42" s="1"/>
      <c r="AH42" s="8"/>
    </row>
    <row r="43" spans="1:34" ht="15.75" customHeight="1" x14ac:dyDescent="0.2">
      <c r="B43" s="33">
        <v>10240</v>
      </c>
      <c r="C43" s="5">
        <f t="shared" si="10"/>
        <v>503.31299999999999</v>
      </c>
      <c r="D43" s="29">
        <f t="shared" si="11"/>
        <v>770.59050000000002</v>
      </c>
      <c r="F43" s="14"/>
      <c r="G43" s="14"/>
      <c r="H43" s="14"/>
      <c r="I43" s="14"/>
      <c r="J43" s="14"/>
      <c r="V43" s="1">
        <v>10240</v>
      </c>
      <c r="W43" s="11">
        <v>519.65499999999997</v>
      </c>
      <c r="X43" s="12">
        <v>486.971</v>
      </c>
      <c r="Y43" s="12"/>
      <c r="Z43" s="16"/>
      <c r="AA43" s="17"/>
      <c r="AB43" s="1"/>
      <c r="AC43" s="1">
        <v>10240</v>
      </c>
      <c r="AD43" s="11">
        <v>751.03399999999999</v>
      </c>
      <c r="AE43" s="12">
        <v>790.14700000000005</v>
      </c>
      <c r="AF43" s="16"/>
      <c r="AG43" s="16"/>
      <c r="AH43" s="17"/>
    </row>
    <row r="44" spans="1:34" ht="15.75" customHeight="1" x14ac:dyDescent="0.2">
      <c r="B44" s="14"/>
      <c r="C44" s="14"/>
      <c r="D44" s="14"/>
      <c r="F44" s="14"/>
      <c r="G44" s="14"/>
      <c r="H44" s="14"/>
      <c r="I44" s="14"/>
      <c r="J44" s="14"/>
      <c r="Y44" s="1"/>
      <c r="Z44" s="1"/>
      <c r="AA44" s="1"/>
    </row>
    <row r="45" spans="1:34" ht="15.75" customHeight="1" x14ac:dyDescent="0.2">
      <c r="B45" s="14"/>
      <c r="C45" s="14"/>
      <c r="D45" s="14"/>
      <c r="F45" s="14"/>
      <c r="G45" s="14"/>
      <c r="H45" s="14"/>
      <c r="I45" s="14"/>
      <c r="J45" s="14"/>
      <c r="Y45" s="1"/>
      <c r="Z45" s="1"/>
      <c r="AA45" s="1"/>
    </row>
    <row r="46" spans="1:34" ht="15.75" customHeight="1" x14ac:dyDescent="0.2">
      <c r="B46" s="14"/>
      <c r="C46" s="14"/>
      <c r="D46" s="14"/>
      <c r="F46" s="14"/>
      <c r="G46" s="14"/>
      <c r="H46" s="14"/>
      <c r="I46" s="14"/>
      <c r="J46" s="14"/>
      <c r="Y46" s="1"/>
      <c r="Z46" s="1"/>
      <c r="AA46" s="1"/>
    </row>
    <row r="47" spans="1:34" ht="15.75" customHeight="1" x14ac:dyDescent="0.2">
      <c r="A47" s="1" t="s">
        <v>0</v>
      </c>
      <c r="B47" s="33" t="s">
        <v>1</v>
      </c>
      <c r="C47" s="34" t="s">
        <v>21</v>
      </c>
      <c r="D47" s="34" t="s">
        <v>22</v>
      </c>
      <c r="E47" s="35" t="s">
        <v>23</v>
      </c>
      <c r="F47" s="14"/>
      <c r="G47" s="14"/>
      <c r="H47" s="14" t="s">
        <v>1</v>
      </c>
      <c r="I47" s="47" t="s">
        <v>24</v>
      </c>
      <c r="J47" s="45"/>
      <c r="K47" s="45"/>
      <c r="L47" s="45"/>
      <c r="M47" s="46"/>
      <c r="O47" s="14" t="s">
        <v>1</v>
      </c>
      <c r="P47" s="47" t="s">
        <v>25</v>
      </c>
      <c r="Q47" s="45"/>
      <c r="R47" s="45"/>
      <c r="S47" s="45"/>
      <c r="T47" s="46"/>
      <c r="V47" s="14" t="s">
        <v>1</v>
      </c>
      <c r="W47" s="47" t="s">
        <v>26</v>
      </c>
      <c r="X47" s="45"/>
      <c r="Y47" s="45"/>
      <c r="Z47" s="45"/>
      <c r="AA47" s="46"/>
    </row>
    <row r="48" spans="1:34" ht="15.75" customHeight="1" x14ac:dyDescent="0.2">
      <c r="A48" s="1"/>
      <c r="B48" s="33">
        <v>4096</v>
      </c>
      <c r="C48" s="29">
        <f t="shared" ref="C48:C51" si="12">AVERAGE(I48:J48)</f>
        <v>48.744</v>
      </c>
      <c r="D48" s="29">
        <f t="shared" ref="D48:D51" si="13">AVERAGE(P48:Q48)</f>
        <v>44.918999999999997</v>
      </c>
      <c r="E48" s="5">
        <f t="shared" ref="E48:E51" si="14">AVERAGE(W48:X48)</f>
        <v>55.490499999999997</v>
      </c>
      <c r="F48" s="14"/>
      <c r="G48" s="14"/>
      <c r="H48" s="14">
        <v>4096</v>
      </c>
      <c r="I48" s="9">
        <v>47.107999999999997</v>
      </c>
      <c r="J48" s="4">
        <v>50.38</v>
      </c>
      <c r="K48" s="1"/>
      <c r="L48" s="1"/>
      <c r="M48" s="8"/>
      <c r="O48" s="14">
        <v>4096</v>
      </c>
      <c r="P48" s="9">
        <v>46.094000000000001</v>
      </c>
      <c r="Q48" s="10">
        <v>43.744</v>
      </c>
      <c r="T48" s="36"/>
      <c r="V48" s="14">
        <v>4096</v>
      </c>
      <c r="W48" s="9">
        <v>49.488</v>
      </c>
      <c r="X48" s="10">
        <v>61.493000000000002</v>
      </c>
      <c r="Y48" s="1"/>
      <c r="Z48" s="1"/>
      <c r="AA48" s="8"/>
    </row>
    <row r="49" spans="1:29" ht="15.75" customHeight="1" x14ac:dyDescent="0.2">
      <c r="A49" s="1"/>
      <c r="B49" s="33">
        <v>6144</v>
      </c>
      <c r="C49" s="29">
        <f t="shared" si="12"/>
        <v>138.96899999999999</v>
      </c>
      <c r="D49" s="29">
        <f t="shared" si="13"/>
        <v>132.61099999999999</v>
      </c>
      <c r="E49" s="5">
        <f t="shared" si="14"/>
        <v>155.01850000000002</v>
      </c>
      <c r="F49" s="14"/>
      <c r="G49" s="14"/>
      <c r="H49" s="14">
        <v>6144</v>
      </c>
      <c r="I49" s="9">
        <v>137.911</v>
      </c>
      <c r="J49" s="4">
        <v>140.02699999999999</v>
      </c>
      <c r="K49" s="1"/>
      <c r="L49" s="1"/>
      <c r="M49" s="8"/>
      <c r="O49" s="14">
        <v>6144</v>
      </c>
      <c r="P49" s="9">
        <v>137.37299999999999</v>
      </c>
      <c r="Q49" s="10">
        <v>127.849</v>
      </c>
      <c r="T49" s="36"/>
      <c r="V49" s="14">
        <v>6144</v>
      </c>
      <c r="W49" s="9">
        <v>155.767</v>
      </c>
      <c r="X49" s="10">
        <v>154.27000000000001</v>
      </c>
      <c r="Y49" s="1"/>
      <c r="Z49" s="1"/>
      <c r="AA49" s="8"/>
    </row>
    <row r="50" spans="1:29" ht="15.75" customHeight="1" x14ac:dyDescent="0.2">
      <c r="A50" s="1"/>
      <c r="B50" s="33">
        <v>8192</v>
      </c>
      <c r="C50" s="29">
        <f t="shared" si="12"/>
        <v>387.93700000000001</v>
      </c>
      <c r="D50" s="29">
        <f t="shared" si="13"/>
        <v>323.75400000000002</v>
      </c>
      <c r="E50" s="5">
        <f t="shared" si="14"/>
        <v>396.22899999999998</v>
      </c>
      <c r="F50" s="14"/>
      <c r="G50" s="14"/>
      <c r="H50" s="14">
        <v>8192</v>
      </c>
      <c r="I50" s="9">
        <v>387.93700000000001</v>
      </c>
      <c r="J50" s="4" t="s">
        <v>27</v>
      </c>
      <c r="K50" s="1"/>
      <c r="L50" s="1"/>
      <c r="M50" s="8"/>
      <c r="O50" s="14">
        <v>8192</v>
      </c>
      <c r="P50" s="9">
        <v>323.75400000000002</v>
      </c>
      <c r="Q50" s="10" t="s">
        <v>28</v>
      </c>
      <c r="T50" s="36"/>
      <c r="V50" s="14">
        <v>8192</v>
      </c>
      <c r="W50" s="9">
        <v>372.142</v>
      </c>
      <c r="X50" s="10">
        <v>420.31599999999997</v>
      </c>
      <c r="Y50" s="1"/>
      <c r="Z50" s="1"/>
      <c r="AA50" s="8"/>
    </row>
    <row r="51" spans="1:29" ht="15.75" customHeight="1" x14ac:dyDescent="0.2">
      <c r="A51" s="1"/>
      <c r="B51" s="33">
        <v>10240</v>
      </c>
      <c r="C51" s="29">
        <f t="shared" si="12"/>
        <v>700.58850000000007</v>
      </c>
      <c r="D51" s="29">
        <f t="shared" si="13"/>
        <v>678.625</v>
      </c>
      <c r="E51" s="5">
        <f t="shared" si="14"/>
        <v>778.99400000000003</v>
      </c>
      <c r="F51" s="14"/>
      <c r="G51" s="14"/>
      <c r="H51" s="14">
        <v>10240</v>
      </c>
      <c r="I51" s="20">
        <v>700.35500000000002</v>
      </c>
      <c r="J51" s="12">
        <v>700.822</v>
      </c>
      <c r="K51" s="16"/>
      <c r="L51" s="16"/>
      <c r="M51" s="17"/>
      <c r="O51" s="14">
        <v>10240</v>
      </c>
      <c r="P51" s="20">
        <v>678.625</v>
      </c>
      <c r="Q51" s="21" t="s">
        <v>29</v>
      </c>
      <c r="R51" s="37"/>
      <c r="S51" s="37"/>
      <c r="T51" s="38"/>
      <c r="V51" s="14">
        <v>10240</v>
      </c>
      <c r="W51" s="20">
        <v>778.99400000000003</v>
      </c>
      <c r="X51" s="21" t="s">
        <v>30</v>
      </c>
      <c r="Y51" s="16"/>
      <c r="Z51" s="16"/>
      <c r="AA51" s="17"/>
    </row>
    <row r="52" spans="1:29" ht="15.75" customHeight="1" x14ac:dyDescent="0.2">
      <c r="B52" s="14"/>
      <c r="C52" s="14"/>
      <c r="D52" s="14"/>
      <c r="F52" s="14"/>
      <c r="G52" s="14"/>
      <c r="H52" s="14"/>
      <c r="I52" s="14"/>
      <c r="J52" s="14"/>
      <c r="Y52" s="1"/>
      <c r="Z52" s="1"/>
      <c r="AA52" s="1"/>
    </row>
    <row r="53" spans="1:29" ht="15.75" customHeight="1" x14ac:dyDescent="0.2">
      <c r="B53" s="14"/>
      <c r="C53" s="14"/>
      <c r="D53" s="14"/>
      <c r="F53" s="14"/>
      <c r="G53" s="14"/>
      <c r="H53" s="14"/>
      <c r="I53" s="14"/>
      <c r="J53" s="14"/>
      <c r="Y53" s="1"/>
      <c r="Z53" s="1"/>
      <c r="AA53" s="1"/>
    </row>
    <row r="54" spans="1:29" ht="15.75" customHeight="1" x14ac:dyDescent="0.2">
      <c r="B54" s="14"/>
      <c r="C54" s="14"/>
      <c r="D54" s="14"/>
      <c r="F54" s="14"/>
      <c r="G54" s="14"/>
      <c r="H54" s="14"/>
      <c r="I54" s="14"/>
      <c r="J54" s="14"/>
      <c r="Y54" s="1"/>
      <c r="Z54" s="1"/>
      <c r="AA54" s="1"/>
    </row>
    <row r="55" spans="1:29" ht="15.75" customHeight="1" x14ac:dyDescent="0.2">
      <c r="A55" s="1" t="s">
        <v>31</v>
      </c>
      <c r="B55" s="33" t="s">
        <v>1</v>
      </c>
      <c r="C55" s="39" t="s">
        <v>32</v>
      </c>
      <c r="D55" s="39" t="s">
        <v>33</v>
      </c>
      <c r="E55" s="39" t="s">
        <v>34</v>
      </c>
      <c r="F55" s="14"/>
      <c r="G55" s="14"/>
      <c r="H55" s="14" t="s">
        <v>1</v>
      </c>
      <c r="I55" s="47" t="s">
        <v>35</v>
      </c>
      <c r="J55" s="45"/>
      <c r="K55" s="45"/>
      <c r="L55" s="45"/>
      <c r="M55" s="46"/>
      <c r="O55" s="14" t="s">
        <v>1</v>
      </c>
      <c r="P55" s="47" t="s">
        <v>36</v>
      </c>
      <c r="Q55" s="45"/>
      <c r="R55" s="45"/>
      <c r="S55" s="45"/>
      <c r="T55" s="46"/>
      <c r="V55" s="14" t="s">
        <v>1</v>
      </c>
      <c r="W55" s="47" t="s">
        <v>37</v>
      </c>
      <c r="X55" s="45"/>
      <c r="Y55" s="45"/>
      <c r="Z55" s="45"/>
      <c r="AA55" s="46"/>
    </row>
    <row r="56" spans="1:29" ht="15.75" customHeight="1" x14ac:dyDescent="0.2">
      <c r="A56" s="1"/>
      <c r="B56" s="33">
        <v>4096</v>
      </c>
      <c r="C56" s="29">
        <f t="shared" ref="C56:C59" si="15">AVERAGE(I56:J56)</f>
        <v>10153373688.5</v>
      </c>
      <c r="D56" s="29">
        <f t="shared" ref="D56:D59" si="16">AVERAGE(P56:Q56)</f>
        <v>9396733227</v>
      </c>
      <c r="E56" s="5">
        <f t="shared" ref="E56:E59" si="17">AVERAGE(W56:X56)</f>
        <v>9047815940.5</v>
      </c>
      <c r="F56" s="14"/>
      <c r="G56" s="14"/>
      <c r="H56" s="14">
        <v>4096</v>
      </c>
      <c r="I56" s="9">
        <v>10152464608</v>
      </c>
      <c r="J56" s="4">
        <v>10154282769</v>
      </c>
      <c r="K56" s="1"/>
      <c r="L56" s="1"/>
      <c r="M56" s="8"/>
      <c r="O56" s="14">
        <v>4096</v>
      </c>
      <c r="P56" s="9">
        <v>9395987770</v>
      </c>
      <c r="Q56" s="14">
        <v>9397478684</v>
      </c>
      <c r="T56" s="36"/>
      <c r="V56" s="14">
        <v>4096</v>
      </c>
      <c r="W56" s="9">
        <v>9039482022</v>
      </c>
      <c r="X56" s="10">
        <v>9056149859</v>
      </c>
      <c r="Y56" s="14"/>
      <c r="Z56" s="1"/>
      <c r="AA56" s="8"/>
      <c r="AC56" s="40"/>
    </row>
    <row r="57" spans="1:29" ht="15.75" customHeight="1" x14ac:dyDescent="0.2">
      <c r="A57" s="1"/>
      <c r="B57" s="33">
        <v>6144</v>
      </c>
      <c r="C57" s="29">
        <f t="shared" si="15"/>
        <v>34235166582.5</v>
      </c>
      <c r="D57" s="29">
        <f t="shared" si="16"/>
        <v>31684677332.5</v>
      </c>
      <c r="E57" s="5">
        <f t="shared" si="17"/>
        <v>30469734241.5</v>
      </c>
      <c r="F57" s="14"/>
      <c r="G57" s="14"/>
      <c r="H57" s="14">
        <v>6144</v>
      </c>
      <c r="I57" s="9">
        <v>34238113928</v>
      </c>
      <c r="J57" s="4">
        <v>34232219237</v>
      </c>
      <c r="K57" s="1"/>
      <c r="L57" s="1"/>
      <c r="M57" s="8"/>
      <c r="N57" s="14"/>
      <c r="O57" s="14">
        <v>6144</v>
      </c>
      <c r="P57" s="9">
        <v>31691827797</v>
      </c>
      <c r="Q57" s="10">
        <v>31677526868</v>
      </c>
      <c r="T57" s="36"/>
      <c r="U57" s="14"/>
      <c r="V57" s="14">
        <v>6144</v>
      </c>
      <c r="W57" s="9">
        <v>30470868126</v>
      </c>
      <c r="X57" s="10">
        <v>30468600357</v>
      </c>
      <c r="Y57" s="1"/>
      <c r="Z57" s="1"/>
      <c r="AA57" s="8"/>
      <c r="AC57" s="40"/>
    </row>
    <row r="58" spans="1:29" ht="15.75" customHeight="1" x14ac:dyDescent="0.2">
      <c r="A58" s="1"/>
      <c r="B58" s="33">
        <v>8192</v>
      </c>
      <c r="C58" s="29">
        <f t="shared" si="15"/>
        <v>81210340827</v>
      </c>
      <c r="D58" s="29">
        <f t="shared" si="16"/>
        <v>75183652398</v>
      </c>
      <c r="E58" s="5">
        <f t="shared" si="17"/>
        <v>72315772192</v>
      </c>
      <c r="F58" s="14"/>
      <c r="G58" s="14"/>
      <c r="H58" s="14">
        <v>8192</v>
      </c>
      <c r="I58" s="9">
        <v>81208285600</v>
      </c>
      <c r="J58" s="4">
        <v>81212396054</v>
      </c>
      <c r="K58" s="1"/>
      <c r="L58" s="1"/>
      <c r="M58" s="8"/>
      <c r="N58" s="14"/>
      <c r="O58" s="14">
        <v>8192</v>
      </c>
      <c r="P58" s="9">
        <v>75107606898</v>
      </c>
      <c r="Q58" s="10">
        <v>75259697898</v>
      </c>
      <c r="T58" s="36"/>
      <c r="U58" s="14"/>
      <c r="V58" s="14">
        <v>8192</v>
      </c>
      <c r="W58" s="9">
        <v>72303890569</v>
      </c>
      <c r="X58" s="10">
        <v>72327653815</v>
      </c>
      <c r="Y58" s="1"/>
      <c r="Z58" s="1"/>
      <c r="AA58" s="8"/>
      <c r="AC58" s="40"/>
    </row>
    <row r="59" spans="1:29" ht="15.75" customHeight="1" x14ac:dyDescent="0.2">
      <c r="A59" s="1"/>
      <c r="B59" s="33">
        <v>10240</v>
      </c>
      <c r="C59" s="29">
        <f t="shared" si="15"/>
        <v>158624537601.5</v>
      </c>
      <c r="D59" s="29">
        <f t="shared" si="16"/>
        <v>146967457395.5</v>
      </c>
      <c r="E59" s="5">
        <f t="shared" si="17"/>
        <v>141110309926</v>
      </c>
      <c r="F59" s="14"/>
      <c r="G59" s="14"/>
      <c r="H59" s="14">
        <v>10240</v>
      </c>
      <c r="I59" s="20">
        <v>158624342501</v>
      </c>
      <c r="J59" s="12">
        <v>158624732702</v>
      </c>
      <c r="K59" s="16"/>
      <c r="L59" s="16"/>
      <c r="M59" s="17"/>
      <c r="N59" s="14"/>
      <c r="O59" s="14">
        <v>10240</v>
      </c>
      <c r="P59" s="20">
        <v>146899549149</v>
      </c>
      <c r="Q59" s="41">
        <v>147035365642</v>
      </c>
      <c r="R59" s="37"/>
      <c r="S59" s="37"/>
      <c r="T59" s="38"/>
      <c r="U59" s="14"/>
      <c r="V59" s="14">
        <v>10240</v>
      </c>
      <c r="W59" s="20">
        <v>141094256373</v>
      </c>
      <c r="X59" s="41">
        <v>141126363479</v>
      </c>
      <c r="Y59" s="41"/>
      <c r="Z59" s="16"/>
      <c r="AA59" s="17"/>
      <c r="AC59" s="40"/>
    </row>
    <row r="60" spans="1:29" ht="15.75" customHeight="1" x14ac:dyDescent="0.2">
      <c r="B60" s="14"/>
      <c r="C60" s="14"/>
      <c r="D60" s="14"/>
      <c r="F60" s="14"/>
      <c r="G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T60" s="14"/>
      <c r="U60" s="14"/>
      <c r="Y60" s="1"/>
      <c r="Z60" s="1"/>
      <c r="AA60" s="1"/>
    </row>
    <row r="61" spans="1:29" ht="15.75" customHeight="1" x14ac:dyDescent="0.2">
      <c r="B61" s="14"/>
      <c r="C61" s="14"/>
      <c r="D61" s="14"/>
      <c r="F61" s="14"/>
      <c r="G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T61" s="14"/>
      <c r="U61" s="14"/>
      <c r="Y61" s="1"/>
      <c r="Z61" s="1"/>
      <c r="AA61" s="1"/>
    </row>
    <row r="62" spans="1:29" ht="15.75" customHeight="1" x14ac:dyDescent="0.2">
      <c r="B62" s="14"/>
      <c r="C62" s="14"/>
      <c r="D62" s="14"/>
      <c r="F62" s="14"/>
      <c r="G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T62" s="14"/>
      <c r="U62" s="14"/>
      <c r="Y62" s="1"/>
      <c r="Z62" s="1"/>
      <c r="AA62" s="1"/>
    </row>
    <row r="63" spans="1:29" ht="15.75" customHeight="1" x14ac:dyDescent="0.2">
      <c r="A63" s="1" t="s">
        <v>38</v>
      </c>
      <c r="B63" s="33" t="s">
        <v>1</v>
      </c>
      <c r="C63" s="39" t="s">
        <v>39</v>
      </c>
      <c r="D63" s="39" t="s">
        <v>40</v>
      </c>
      <c r="E63" s="39" t="s">
        <v>41</v>
      </c>
      <c r="F63" s="14"/>
      <c r="G63" s="14"/>
      <c r="H63" s="14" t="s">
        <v>1</v>
      </c>
      <c r="I63" s="47" t="s">
        <v>42</v>
      </c>
      <c r="J63" s="45"/>
      <c r="K63" s="45"/>
      <c r="L63" s="45"/>
      <c r="M63" s="46"/>
      <c r="N63" s="14"/>
      <c r="O63" s="14" t="s">
        <v>1</v>
      </c>
      <c r="P63" s="47" t="s">
        <v>43</v>
      </c>
      <c r="Q63" s="45"/>
      <c r="R63" s="45"/>
      <c r="S63" s="45"/>
      <c r="T63" s="46"/>
      <c r="U63" s="14"/>
      <c r="V63" s="14" t="s">
        <v>1</v>
      </c>
      <c r="W63" s="47" t="s">
        <v>44</v>
      </c>
      <c r="X63" s="45"/>
      <c r="Y63" s="45"/>
      <c r="Z63" s="45"/>
      <c r="AA63" s="46"/>
    </row>
    <row r="64" spans="1:29" ht="15.75" customHeight="1" x14ac:dyDescent="0.2">
      <c r="B64" s="33">
        <v>4096</v>
      </c>
      <c r="C64" s="29">
        <f t="shared" ref="C64:C67" si="18">AVERAGE(I64:J64)</f>
        <v>14843317189</v>
      </c>
      <c r="D64" s="29">
        <f t="shared" ref="D64:D67" si="19">AVERAGE(P64:Q64)</f>
        <v>12643151930.5</v>
      </c>
      <c r="E64" s="5">
        <f t="shared" ref="E64:E67" si="20">AVERAGE(W64:X64)</f>
        <v>10121906902</v>
      </c>
      <c r="F64" s="14"/>
      <c r="G64" s="14"/>
      <c r="H64" s="14">
        <v>4096</v>
      </c>
      <c r="I64" s="9">
        <v>15709777488</v>
      </c>
      <c r="J64" s="10">
        <v>13976856890</v>
      </c>
      <c r="K64" s="1"/>
      <c r="L64" s="1"/>
      <c r="M64" s="8"/>
      <c r="N64" s="14"/>
      <c r="O64" s="14">
        <v>4096</v>
      </c>
      <c r="P64" s="9">
        <v>12716152797</v>
      </c>
      <c r="Q64" s="10">
        <v>12570151064</v>
      </c>
      <c r="T64" s="36"/>
      <c r="U64" s="14"/>
      <c r="V64" s="14">
        <v>4096</v>
      </c>
      <c r="W64" s="9">
        <v>10087342799</v>
      </c>
      <c r="X64" s="10">
        <v>10156471005</v>
      </c>
      <c r="Y64" s="14"/>
      <c r="Z64" s="1"/>
      <c r="AA64" s="8"/>
    </row>
    <row r="65" spans="1:27" ht="15.75" customHeight="1" x14ac:dyDescent="0.2">
      <c r="B65" s="33">
        <v>6144</v>
      </c>
      <c r="C65" s="29">
        <f t="shared" si="18"/>
        <v>43231382773.5</v>
      </c>
      <c r="D65" s="29">
        <f t="shared" si="19"/>
        <v>42113474379</v>
      </c>
      <c r="E65" s="5">
        <f t="shared" si="20"/>
        <v>34592126372</v>
      </c>
      <c r="F65" s="14"/>
      <c r="G65" s="14"/>
      <c r="H65" s="14">
        <v>6144</v>
      </c>
      <c r="I65" s="9">
        <v>43395480954</v>
      </c>
      <c r="J65" s="10">
        <v>43067284593</v>
      </c>
      <c r="K65" s="1"/>
      <c r="L65" s="1"/>
      <c r="M65" s="8"/>
      <c r="N65" s="14"/>
      <c r="O65" s="14">
        <v>6144</v>
      </c>
      <c r="P65" s="9">
        <v>42665637189</v>
      </c>
      <c r="Q65" s="10">
        <v>41561311569</v>
      </c>
      <c r="T65" s="36"/>
      <c r="U65" s="14"/>
      <c r="V65" s="14">
        <v>6144</v>
      </c>
      <c r="W65" s="9">
        <v>34650060262</v>
      </c>
      <c r="X65" s="10">
        <v>34534192482</v>
      </c>
      <c r="Y65" s="1"/>
      <c r="Z65" s="1"/>
      <c r="AA65" s="8"/>
    </row>
    <row r="66" spans="1:27" ht="15.75" customHeight="1" x14ac:dyDescent="0.2">
      <c r="B66" s="33">
        <v>8192</v>
      </c>
      <c r="C66" s="29">
        <f t="shared" si="18"/>
        <v>133829427701</v>
      </c>
      <c r="D66" s="29">
        <f t="shared" si="19"/>
        <v>102020524654.5</v>
      </c>
      <c r="E66" s="5">
        <f t="shared" si="20"/>
        <v>79876295812</v>
      </c>
      <c r="F66" s="14"/>
      <c r="G66" s="14"/>
      <c r="H66" s="14">
        <v>8192</v>
      </c>
      <c r="I66" s="9">
        <v>134317890196</v>
      </c>
      <c r="J66" s="10">
        <v>133340965206</v>
      </c>
      <c r="K66" s="1"/>
      <c r="L66" s="1"/>
      <c r="M66" s="8"/>
      <c r="N66" s="14"/>
      <c r="O66" s="14">
        <v>8192</v>
      </c>
      <c r="P66" s="9">
        <v>101361775426</v>
      </c>
      <c r="Q66" s="10">
        <v>102679273883</v>
      </c>
      <c r="T66" s="36"/>
      <c r="U66" s="14"/>
      <c r="V66" s="14">
        <v>8192</v>
      </c>
      <c r="W66" s="9">
        <v>79358025666</v>
      </c>
      <c r="X66" s="10">
        <v>80394565958</v>
      </c>
      <c r="Y66" s="1"/>
      <c r="Z66" s="1"/>
      <c r="AA66" s="8"/>
    </row>
    <row r="67" spans="1:27" ht="15.75" customHeight="1" x14ac:dyDescent="0.2">
      <c r="B67" s="33">
        <v>10240</v>
      </c>
      <c r="C67" s="29">
        <f t="shared" si="18"/>
        <v>183462133039.5</v>
      </c>
      <c r="D67" s="29">
        <f t="shared" si="19"/>
        <v>191977015379</v>
      </c>
      <c r="E67" s="5">
        <f t="shared" si="20"/>
        <v>160910480389.5</v>
      </c>
      <c r="F67" s="14"/>
      <c r="G67" s="14"/>
      <c r="H67" s="14">
        <v>10240</v>
      </c>
      <c r="I67" s="20">
        <v>190451218332</v>
      </c>
      <c r="J67" s="21">
        <v>176473047747</v>
      </c>
      <c r="K67" s="16"/>
      <c r="L67" s="16"/>
      <c r="M67" s="17"/>
      <c r="N67" s="14"/>
      <c r="O67" s="14">
        <v>10240</v>
      </c>
      <c r="P67" s="20">
        <v>191904841989</v>
      </c>
      <c r="Q67" s="21">
        <v>192049188769</v>
      </c>
      <c r="R67" s="37"/>
      <c r="S67" s="37"/>
      <c r="T67" s="38"/>
      <c r="U67" s="14"/>
      <c r="V67" s="14">
        <v>10240</v>
      </c>
      <c r="W67" s="20">
        <v>161069409225</v>
      </c>
      <c r="X67" s="41">
        <v>160751551554</v>
      </c>
      <c r="Y67" s="41"/>
      <c r="Z67" s="16"/>
      <c r="AA67" s="17"/>
    </row>
    <row r="68" spans="1:27" ht="15.75" customHeight="1" x14ac:dyDescent="0.2">
      <c r="B68" s="14"/>
      <c r="C68" s="14"/>
      <c r="D68" s="14"/>
      <c r="E68" s="14"/>
      <c r="F68" s="14"/>
      <c r="G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Y68" s="1"/>
      <c r="Z68" s="1"/>
      <c r="AA68" s="1"/>
    </row>
    <row r="69" spans="1:27" ht="15.75" customHeight="1" x14ac:dyDescent="0.2">
      <c r="F69" s="14"/>
      <c r="G69" s="14"/>
      <c r="I69" s="14"/>
      <c r="K69" s="14"/>
      <c r="M69" s="14"/>
      <c r="N69" s="14"/>
      <c r="P69" s="14"/>
      <c r="Q69" s="14"/>
      <c r="R69" s="14"/>
      <c r="T69" s="14"/>
      <c r="U69" s="14"/>
      <c r="Y69" s="1"/>
      <c r="Z69" s="1"/>
      <c r="AA69" s="1"/>
    </row>
    <row r="70" spans="1:27" ht="15.75" customHeight="1" x14ac:dyDescent="0.2">
      <c r="F70" s="14"/>
      <c r="G70" s="14"/>
      <c r="I70" s="14"/>
      <c r="K70" s="14"/>
      <c r="M70" s="14"/>
      <c r="N70" s="14"/>
      <c r="P70" s="14"/>
      <c r="Q70" s="14"/>
      <c r="R70" s="14"/>
      <c r="Y70" s="1"/>
      <c r="Z70" s="1"/>
      <c r="AA70" s="1"/>
    </row>
    <row r="71" spans="1:27" ht="15.75" customHeight="1" x14ac:dyDescent="0.2">
      <c r="A71" s="1" t="s">
        <v>45</v>
      </c>
      <c r="B71" s="2" t="s">
        <v>1</v>
      </c>
      <c r="C71" s="3" t="s">
        <v>46</v>
      </c>
      <c r="D71" s="3" t="s">
        <v>47</v>
      </c>
      <c r="E71" s="32" t="s">
        <v>48</v>
      </c>
      <c r="Q71" s="14"/>
      <c r="Y71" s="1"/>
      <c r="Z71" s="1"/>
      <c r="AA71" s="1"/>
    </row>
    <row r="72" spans="1:27" ht="15.75" customHeight="1" x14ac:dyDescent="0.2">
      <c r="B72" s="42">
        <v>600</v>
      </c>
      <c r="C72" s="5">
        <f t="shared" ref="C72:C82" si="21">E3/C33</f>
        <v>1.5201238390092877</v>
      </c>
      <c r="D72" s="5">
        <f t="shared" ref="D72:D82" si="22">E3/D33</f>
        <v>0.75422427035330253</v>
      </c>
      <c r="Q72" s="14"/>
      <c r="Y72" s="1"/>
      <c r="Z72" s="1"/>
      <c r="AA72" s="1"/>
    </row>
    <row r="73" spans="1:27" ht="15.75" customHeight="1" x14ac:dyDescent="0.2">
      <c r="B73" s="42">
        <v>1000</v>
      </c>
      <c r="C73" s="5">
        <f t="shared" si="21"/>
        <v>1.8937397034596375</v>
      </c>
      <c r="D73" s="5">
        <f t="shared" si="22"/>
        <v>1.0880265026029341</v>
      </c>
      <c r="Q73" s="14"/>
      <c r="Y73" s="1"/>
      <c r="Z73" s="1"/>
      <c r="AA73" s="1"/>
    </row>
    <row r="74" spans="1:27" ht="15.75" customHeight="1" x14ac:dyDescent="0.2">
      <c r="B74" s="42">
        <v>1400</v>
      </c>
      <c r="C74" s="5">
        <f t="shared" si="21"/>
        <v>2.3508771929824563</v>
      </c>
      <c r="D74" s="5">
        <f t="shared" si="22"/>
        <v>1.166557161629435</v>
      </c>
      <c r="Q74" s="14"/>
      <c r="Y74" s="1"/>
      <c r="Z74" s="1"/>
      <c r="AA74" s="1"/>
    </row>
    <row r="75" spans="1:27" ht="15.75" customHeight="1" x14ac:dyDescent="0.2">
      <c r="B75" s="42">
        <v>1800</v>
      </c>
      <c r="C75" s="5">
        <f t="shared" si="21"/>
        <v>2.1855033557046979</v>
      </c>
      <c r="D75" s="5">
        <f t="shared" si="22"/>
        <v>1.334043424825891</v>
      </c>
      <c r="Y75" s="1"/>
      <c r="Z75" s="1"/>
      <c r="AA75" s="1"/>
    </row>
    <row r="76" spans="1:27" ht="15.75" customHeight="1" x14ac:dyDescent="0.2">
      <c r="B76" s="42">
        <v>2200</v>
      </c>
      <c r="C76" s="5">
        <f t="shared" si="21"/>
        <v>1.6047409040793825</v>
      </c>
      <c r="D76" s="5">
        <f t="shared" si="22"/>
        <v>1.0724109701187066</v>
      </c>
      <c r="Y76" s="1"/>
      <c r="Z76" s="1"/>
      <c r="AA76" s="1"/>
    </row>
    <row r="77" spans="1:27" ht="15.75" customHeight="1" x14ac:dyDescent="0.2">
      <c r="B77" s="42">
        <v>2600</v>
      </c>
      <c r="C77" s="5">
        <f t="shared" si="21"/>
        <v>2.0283727921833896</v>
      </c>
      <c r="D77" s="5">
        <f t="shared" si="22"/>
        <v>1.3327571838636993</v>
      </c>
      <c r="Y77" s="1"/>
      <c r="Z77" s="1"/>
      <c r="AA77" s="1"/>
    </row>
    <row r="78" spans="1:27" ht="15.75" customHeight="1" x14ac:dyDescent="0.2">
      <c r="B78" s="42">
        <v>3000</v>
      </c>
      <c r="C78" s="5">
        <f t="shared" si="21"/>
        <v>1.8554352728912946</v>
      </c>
      <c r="D78" s="5">
        <f t="shared" si="22"/>
        <v>1.6498132504449403</v>
      </c>
      <c r="Y78" s="1"/>
      <c r="Z78" s="1"/>
      <c r="AA78" s="1"/>
    </row>
    <row r="79" spans="1:27" ht="15.75" customHeight="1" x14ac:dyDescent="0.2">
      <c r="B79" s="42">
        <v>4096</v>
      </c>
      <c r="C79" s="5">
        <f t="shared" si="21"/>
        <v>2.0790671316987108</v>
      </c>
      <c r="D79" s="5">
        <f t="shared" si="22"/>
        <v>1.5836348182857851</v>
      </c>
      <c r="Y79" s="1"/>
      <c r="Z79" s="1"/>
      <c r="AA79" s="1"/>
    </row>
    <row r="80" spans="1:27" ht="15.75" customHeight="1" x14ac:dyDescent="0.2">
      <c r="B80" s="42">
        <v>6144</v>
      </c>
      <c r="C80" s="5">
        <f t="shared" si="21"/>
        <v>1.624263333145048</v>
      </c>
      <c r="D80" s="5">
        <f t="shared" si="22"/>
        <v>1.3692313703082382</v>
      </c>
      <c r="Y80" s="1"/>
      <c r="Z80" s="1"/>
      <c r="AA80" s="1"/>
    </row>
    <row r="81" spans="1:27" ht="15.75" customHeight="1" x14ac:dyDescent="0.2">
      <c r="B81" s="42">
        <v>8192</v>
      </c>
      <c r="C81" s="5">
        <f t="shared" si="21"/>
        <v>1.906620308418391</v>
      </c>
      <c r="D81" s="5">
        <f t="shared" si="22"/>
        <v>1.4822560454121578</v>
      </c>
      <c r="Y81" s="1"/>
      <c r="Z81" s="1"/>
      <c r="AA81" s="1"/>
    </row>
    <row r="82" spans="1:27" ht="15.75" customHeight="1" x14ac:dyDescent="0.2">
      <c r="B82" s="42">
        <v>10240</v>
      </c>
      <c r="C82" s="5">
        <f t="shared" si="21"/>
        <v>1.7529860477807382</v>
      </c>
      <c r="D82" s="5">
        <f t="shared" si="22"/>
        <v>1.1449669658095534</v>
      </c>
      <c r="Y82" s="1"/>
      <c r="Z82" s="1"/>
      <c r="AA82" s="1"/>
    </row>
    <row r="83" spans="1:27" ht="15.75" customHeight="1" x14ac:dyDescent="0.2">
      <c r="Y83" s="1"/>
      <c r="Z83" s="1"/>
      <c r="AA83" s="1"/>
    </row>
    <row r="84" spans="1:27" ht="15.75" customHeight="1" x14ac:dyDescent="0.2">
      <c r="Y84" s="1"/>
      <c r="Z84" s="1"/>
      <c r="AA84" s="1"/>
    </row>
    <row r="85" spans="1:27" ht="15.75" customHeight="1" x14ac:dyDescent="0.2">
      <c r="Y85" s="1"/>
      <c r="Z85" s="1"/>
      <c r="AA85" s="1"/>
    </row>
    <row r="86" spans="1:27" ht="15.75" customHeight="1" x14ac:dyDescent="0.2">
      <c r="A86" s="1" t="s">
        <v>49</v>
      </c>
      <c r="B86" s="2" t="s">
        <v>1</v>
      </c>
      <c r="C86" s="3" t="s">
        <v>50</v>
      </c>
      <c r="D86" s="3" t="s">
        <v>51</v>
      </c>
      <c r="E86" s="32" t="s">
        <v>52</v>
      </c>
      <c r="Y86" s="1"/>
      <c r="Z86" s="1"/>
      <c r="AA86" s="1"/>
    </row>
    <row r="87" spans="1:27" ht="15.75" customHeight="1" x14ac:dyDescent="0.2">
      <c r="B87" s="42">
        <v>600</v>
      </c>
      <c r="C87" s="5">
        <f t="shared" ref="C87:D87" si="23">(C72/4)*100</f>
        <v>38.003095975232192</v>
      </c>
      <c r="D87" s="5">
        <f t="shared" si="23"/>
        <v>18.855606758832565</v>
      </c>
      <c r="E87" s="43" t="s">
        <v>53</v>
      </c>
      <c r="Y87" s="1"/>
      <c r="Z87" s="1"/>
      <c r="AA87" s="1"/>
    </row>
    <row r="88" spans="1:27" ht="15.75" customHeight="1" x14ac:dyDescent="0.2">
      <c r="B88" s="42">
        <v>1000</v>
      </c>
      <c r="C88" s="5">
        <f t="shared" ref="C88:D88" si="24">(C73/4)*100</f>
        <v>47.343492586490939</v>
      </c>
      <c r="D88" s="5">
        <f t="shared" si="24"/>
        <v>27.200662565073351</v>
      </c>
      <c r="Y88" s="1"/>
      <c r="Z88" s="1"/>
      <c r="AA88" s="1"/>
    </row>
    <row r="89" spans="1:27" ht="15.75" customHeight="1" x14ac:dyDescent="0.2">
      <c r="B89" s="42">
        <v>1400</v>
      </c>
      <c r="C89" s="5">
        <f t="shared" ref="C89:D89" si="25">(C74/4)*100</f>
        <v>58.771929824561411</v>
      </c>
      <c r="D89" s="5">
        <f t="shared" si="25"/>
        <v>29.163929040735876</v>
      </c>
      <c r="Y89" s="1"/>
      <c r="Z89" s="1"/>
      <c r="AA89" s="1"/>
    </row>
    <row r="90" spans="1:27" ht="15.75" customHeight="1" x14ac:dyDescent="0.2">
      <c r="B90" s="42">
        <v>1800</v>
      </c>
      <c r="C90" s="5">
        <f t="shared" ref="C90:D90" si="26">(C75/4)*100</f>
        <v>54.63758389261745</v>
      </c>
      <c r="D90" s="5">
        <f t="shared" si="26"/>
        <v>33.351085620647275</v>
      </c>
      <c r="Y90" s="1"/>
      <c r="Z90" s="1"/>
      <c r="AA90" s="1"/>
    </row>
    <row r="91" spans="1:27" ht="15.75" customHeight="1" x14ac:dyDescent="0.2">
      <c r="B91" s="42">
        <v>2200</v>
      </c>
      <c r="C91" s="5">
        <f t="shared" ref="C91:D91" si="27">(C76/4)*100</f>
        <v>40.118522601984566</v>
      </c>
      <c r="D91" s="5">
        <f t="shared" si="27"/>
        <v>26.810274252967663</v>
      </c>
      <c r="Y91" s="1"/>
      <c r="Z91" s="1"/>
      <c r="AA91" s="1"/>
    </row>
    <row r="92" spans="1:27" ht="15.75" customHeight="1" x14ac:dyDescent="0.2">
      <c r="B92" s="42">
        <v>2600</v>
      </c>
      <c r="C92" s="5">
        <f t="shared" ref="C92:D92" si="28">(C77/4)*100</f>
        <v>50.709319804584737</v>
      </c>
      <c r="D92" s="5">
        <f t="shared" si="28"/>
        <v>33.318929596592483</v>
      </c>
      <c r="Y92" s="1"/>
      <c r="Z92" s="1"/>
      <c r="AA92" s="1"/>
    </row>
    <row r="93" spans="1:27" ht="15.75" customHeight="1" x14ac:dyDescent="0.2">
      <c r="B93" s="42">
        <v>3000</v>
      </c>
      <c r="C93" s="5">
        <f t="shared" ref="C93:D93" si="29">(C78/4)*100</f>
        <v>46.385881822282364</v>
      </c>
      <c r="D93" s="5">
        <f t="shared" si="29"/>
        <v>41.245331261123511</v>
      </c>
      <c r="Y93" s="1"/>
      <c r="Z93" s="1"/>
      <c r="AA93" s="1"/>
    </row>
    <row r="94" spans="1:27" ht="15.75" customHeight="1" x14ac:dyDescent="0.2">
      <c r="B94" s="42">
        <v>4096</v>
      </c>
      <c r="C94" s="5">
        <f t="shared" ref="C94:D94" si="30">(C79/4)*100</f>
        <v>51.976678292467767</v>
      </c>
      <c r="D94" s="5">
        <f t="shared" si="30"/>
        <v>39.590870457144625</v>
      </c>
      <c r="Y94" s="1"/>
      <c r="Z94" s="1"/>
      <c r="AA94" s="1"/>
    </row>
    <row r="95" spans="1:27" ht="15.75" customHeight="1" x14ac:dyDescent="0.2">
      <c r="B95" s="42">
        <v>6144</v>
      </c>
      <c r="C95" s="5">
        <f t="shared" ref="C95:D95" si="31">(C80/4)*100</f>
        <v>40.606583328626201</v>
      </c>
      <c r="D95" s="5">
        <f t="shared" si="31"/>
        <v>34.230784257705956</v>
      </c>
      <c r="Y95" s="1"/>
      <c r="Z95" s="1"/>
      <c r="AA95" s="1"/>
    </row>
    <row r="96" spans="1:27" ht="15.75" customHeight="1" x14ac:dyDescent="0.2">
      <c r="B96" s="42">
        <v>8192</v>
      </c>
      <c r="C96" s="5">
        <f t="shared" ref="C96:D96" si="32">(C81/4)*100</f>
        <v>47.665507710459778</v>
      </c>
      <c r="D96" s="5">
        <f t="shared" si="32"/>
        <v>37.056401135303943</v>
      </c>
      <c r="Y96" s="1"/>
      <c r="Z96" s="1"/>
      <c r="AA96" s="1"/>
    </row>
    <row r="97" spans="1:27" ht="15.75" customHeight="1" x14ac:dyDescent="0.2">
      <c r="B97" s="42">
        <v>10240</v>
      </c>
      <c r="C97" s="5">
        <f t="shared" ref="C97:D97" si="33">(C82/4)*100</f>
        <v>43.824651194518452</v>
      </c>
      <c r="D97" s="5">
        <f t="shared" si="33"/>
        <v>28.624174145238833</v>
      </c>
      <c r="Y97" s="1"/>
      <c r="Z97" s="1"/>
      <c r="AA97" s="1"/>
    </row>
    <row r="98" spans="1:27" ht="15.75" customHeight="1" x14ac:dyDescent="0.2">
      <c r="Y98" s="1"/>
      <c r="Z98" s="1"/>
      <c r="AA98" s="1"/>
    </row>
    <row r="99" spans="1:27" ht="15.75" customHeight="1" x14ac:dyDescent="0.2">
      <c r="Y99" s="1"/>
      <c r="Z99" s="1"/>
      <c r="AA99" s="1"/>
    </row>
    <row r="100" spans="1:27" ht="15.75" customHeight="1" x14ac:dyDescent="0.2">
      <c r="Y100" s="1"/>
      <c r="Z100" s="1"/>
      <c r="AA100" s="1"/>
    </row>
    <row r="101" spans="1:27" ht="15.75" customHeight="1" x14ac:dyDescent="0.2">
      <c r="A101" s="32" t="s">
        <v>54</v>
      </c>
      <c r="B101" s="2" t="s">
        <v>1</v>
      </c>
      <c r="C101" s="3" t="s">
        <v>55</v>
      </c>
      <c r="D101" s="3" t="s">
        <v>56</v>
      </c>
      <c r="E101" s="32" t="s">
        <v>57</v>
      </c>
      <c r="Y101" s="1"/>
      <c r="Z101" s="1"/>
      <c r="AA101" s="1"/>
    </row>
    <row r="102" spans="1:27" ht="15.75" customHeight="1" x14ac:dyDescent="0.2">
      <c r="B102" s="42">
        <v>600</v>
      </c>
      <c r="C102" s="5">
        <f t="shared" ref="C102:C112" si="34">(2*(B102^3))/(C33*10^6)</f>
        <v>4012.3839009287922</v>
      </c>
      <c r="D102" s="5">
        <f t="shared" ref="D102:D112" si="35">(2*(B102^3))/(D33*10^6)</f>
        <v>1990.7834101382489</v>
      </c>
      <c r="E102" s="32" t="s">
        <v>58</v>
      </c>
      <c r="Y102" s="1"/>
      <c r="Z102" s="1"/>
      <c r="AA102" s="1"/>
    </row>
    <row r="103" spans="1:27" ht="15.75" customHeight="1" x14ac:dyDescent="0.2">
      <c r="B103" s="42">
        <v>1000</v>
      </c>
      <c r="C103" s="5">
        <f t="shared" si="34"/>
        <v>4942.3393739703461</v>
      </c>
      <c r="D103" s="5">
        <f t="shared" si="35"/>
        <v>2839.5646000946522</v>
      </c>
      <c r="Y103" s="1"/>
      <c r="Z103" s="1"/>
      <c r="AA103" s="1"/>
    </row>
    <row r="104" spans="1:27" ht="15.75" customHeight="1" x14ac:dyDescent="0.2">
      <c r="B104" s="42">
        <v>1400</v>
      </c>
      <c r="C104" s="5">
        <f t="shared" si="34"/>
        <v>5449.8510427010933</v>
      </c>
      <c r="D104" s="5">
        <f t="shared" si="35"/>
        <v>2704.3363994743759</v>
      </c>
      <c r="Y104" s="1"/>
      <c r="Z104" s="1"/>
      <c r="AA104" s="1"/>
    </row>
    <row r="105" spans="1:27" ht="15.75" customHeight="1" x14ac:dyDescent="0.2">
      <c r="B105" s="42">
        <v>1800</v>
      </c>
      <c r="C105" s="5">
        <f t="shared" si="34"/>
        <v>4696.9127516778517</v>
      </c>
      <c r="D105" s="5">
        <f t="shared" si="35"/>
        <v>2867.0217124129454</v>
      </c>
      <c r="Y105" s="1"/>
      <c r="Z105" s="1"/>
      <c r="AA105" s="1"/>
    </row>
    <row r="106" spans="1:27" ht="15.75" customHeight="1" x14ac:dyDescent="0.2">
      <c r="B106" s="42">
        <v>2200</v>
      </c>
      <c r="C106" s="5">
        <f t="shared" si="34"/>
        <v>3913.2671811833884</v>
      </c>
      <c r="D106" s="5">
        <f t="shared" si="35"/>
        <v>2615.1453131395824</v>
      </c>
      <c r="Y106" s="1"/>
      <c r="Z106" s="1"/>
      <c r="AA106" s="1"/>
    </row>
    <row r="107" spans="1:27" ht="15.75" customHeight="1" x14ac:dyDescent="0.2">
      <c r="B107" s="42">
        <v>2600</v>
      </c>
      <c r="C107" s="5">
        <f t="shared" si="34"/>
        <v>4953.7767756482526</v>
      </c>
      <c r="D107" s="5">
        <f t="shared" si="35"/>
        <v>3254.9152751628139</v>
      </c>
      <c r="Y107" s="1"/>
      <c r="Z107" s="1"/>
      <c r="AA107" s="1"/>
    </row>
    <row r="108" spans="1:27" ht="15.75" customHeight="1" x14ac:dyDescent="0.2">
      <c r="B108" s="42">
        <v>3000</v>
      </c>
      <c r="C108" s="5">
        <f t="shared" si="34"/>
        <v>4566.9824086603521</v>
      </c>
      <c r="D108" s="5">
        <f t="shared" si="35"/>
        <v>4060.8628080114308</v>
      </c>
      <c r="Y108" s="1"/>
      <c r="Z108" s="1"/>
      <c r="AA108" s="1"/>
    </row>
    <row r="109" spans="1:27" ht="15.75" customHeight="1" x14ac:dyDescent="0.2">
      <c r="B109" s="42">
        <v>4096</v>
      </c>
      <c r="C109" s="5">
        <f t="shared" si="34"/>
        <v>4817.6018182519238</v>
      </c>
      <c r="D109" s="5">
        <f t="shared" si="35"/>
        <v>3669.5890496749294</v>
      </c>
      <c r="Y109" s="1"/>
      <c r="Z109" s="1"/>
      <c r="AA109" s="1"/>
    </row>
    <row r="110" spans="1:27" ht="15.75" customHeight="1" x14ac:dyDescent="0.2">
      <c r="B110" s="42">
        <v>6144</v>
      </c>
      <c r="C110" s="5">
        <f t="shared" si="34"/>
        <v>4030.9581960051619</v>
      </c>
      <c r="D110" s="5">
        <f t="shared" si="35"/>
        <v>3398.0416240046297</v>
      </c>
      <c r="Y110" s="1"/>
      <c r="Z110" s="1"/>
      <c r="AA110" s="1"/>
    </row>
    <row r="111" spans="1:27" ht="15.75" customHeight="1" x14ac:dyDescent="0.2">
      <c r="B111" s="42">
        <v>8192</v>
      </c>
      <c r="C111" s="5">
        <f t="shared" si="34"/>
        <v>4314.7375583278063</v>
      </c>
      <c r="D111" s="5">
        <f t="shared" si="35"/>
        <v>3354.3888114270721</v>
      </c>
      <c r="Y111" s="1"/>
      <c r="Z111" s="1"/>
      <c r="AA111" s="1"/>
    </row>
    <row r="112" spans="1:27" ht="15.75" customHeight="1" x14ac:dyDescent="0.2">
      <c r="B112" s="42">
        <v>10240</v>
      </c>
      <c r="C112" s="5">
        <f t="shared" si="34"/>
        <v>4266.6961671961581</v>
      </c>
      <c r="D112" s="5">
        <f t="shared" si="35"/>
        <v>2786.8026506944998</v>
      </c>
      <c r="Y112" s="1"/>
      <c r="Z112" s="1"/>
      <c r="AA112" s="1"/>
    </row>
    <row r="113" spans="25:27" ht="15.75" customHeight="1" x14ac:dyDescent="0.2">
      <c r="Y113" s="1"/>
      <c r="Z113" s="1"/>
      <c r="AA113" s="1"/>
    </row>
    <row r="114" spans="25:27" ht="15.75" customHeight="1" x14ac:dyDescent="0.2">
      <c r="Y114" s="1"/>
      <c r="Z114" s="1"/>
      <c r="AA114" s="1"/>
    </row>
    <row r="115" spans="25:27" ht="15.75" customHeight="1" x14ac:dyDescent="0.2">
      <c r="Y115" s="1"/>
      <c r="Z115" s="1"/>
      <c r="AA115" s="1"/>
    </row>
    <row r="116" spans="25:27" ht="15.75" customHeight="1" x14ac:dyDescent="0.2">
      <c r="Y116" s="1"/>
      <c r="Z116" s="1"/>
      <c r="AA116" s="1"/>
    </row>
    <row r="117" spans="25:27" ht="15.75" customHeight="1" x14ac:dyDescent="0.2">
      <c r="Y117" s="1"/>
      <c r="Z117" s="1"/>
      <c r="AA117" s="1"/>
    </row>
    <row r="118" spans="25:27" ht="15.75" customHeight="1" x14ac:dyDescent="0.2">
      <c r="Y118" s="1"/>
      <c r="Z118" s="1"/>
      <c r="AA118" s="1"/>
    </row>
    <row r="119" spans="25:27" ht="15.75" customHeight="1" x14ac:dyDescent="0.2">
      <c r="Y119" s="1"/>
      <c r="Z119" s="1"/>
      <c r="AA119" s="1"/>
    </row>
    <row r="120" spans="25:27" ht="15.75" customHeight="1" x14ac:dyDescent="0.2">
      <c r="Y120" s="1"/>
      <c r="Z120" s="1"/>
      <c r="AA120" s="1"/>
    </row>
    <row r="121" spans="25:27" ht="15.75" customHeight="1" x14ac:dyDescent="0.2">
      <c r="Y121" s="1"/>
      <c r="Z121" s="1"/>
      <c r="AA121" s="1"/>
    </row>
    <row r="122" spans="25:27" ht="15.75" customHeight="1" x14ac:dyDescent="0.2">
      <c r="Y122" s="1"/>
      <c r="Z122" s="1"/>
      <c r="AA122" s="1"/>
    </row>
    <row r="123" spans="25:27" ht="15.75" customHeight="1" x14ac:dyDescent="0.2">
      <c r="Y123" s="1"/>
      <c r="Z123" s="1"/>
      <c r="AA123" s="1"/>
    </row>
    <row r="124" spans="25:27" ht="15.75" customHeight="1" x14ac:dyDescent="0.2">
      <c r="Y124" s="1"/>
      <c r="Z124" s="1"/>
      <c r="AA124" s="1"/>
    </row>
    <row r="125" spans="25:27" ht="15.75" customHeight="1" x14ac:dyDescent="0.2">
      <c r="Y125" s="1"/>
      <c r="Z125" s="1"/>
      <c r="AA125" s="1"/>
    </row>
    <row r="126" spans="25:27" ht="15.75" customHeight="1" x14ac:dyDescent="0.2">
      <c r="Y126" s="1"/>
      <c r="Z126" s="1"/>
      <c r="AA126" s="1"/>
    </row>
    <row r="127" spans="25:27" ht="15.75" customHeight="1" x14ac:dyDescent="0.2">
      <c r="Y127" s="1"/>
      <c r="Z127" s="1"/>
      <c r="AA127" s="1"/>
    </row>
    <row r="128" spans="25:27" ht="15.75" customHeight="1" x14ac:dyDescent="0.2">
      <c r="Y128" s="1"/>
      <c r="Z128" s="1"/>
      <c r="AA128" s="1"/>
    </row>
    <row r="129" spans="25:27" ht="15.75" customHeight="1" x14ac:dyDescent="0.2">
      <c r="Y129" s="1"/>
      <c r="Z129" s="1"/>
      <c r="AA129" s="1"/>
    </row>
    <row r="130" spans="25:27" ht="15.75" customHeight="1" x14ac:dyDescent="0.2">
      <c r="Y130" s="1"/>
      <c r="Z130" s="1"/>
      <c r="AA130" s="1"/>
    </row>
    <row r="131" spans="25:27" ht="15.75" customHeight="1" x14ac:dyDescent="0.2">
      <c r="Y131" s="1"/>
      <c r="Z131" s="1"/>
      <c r="AA131" s="1"/>
    </row>
    <row r="132" spans="25:27" ht="15.75" customHeight="1" x14ac:dyDescent="0.2">
      <c r="Y132" s="1"/>
      <c r="Z132" s="1"/>
      <c r="AA132" s="1"/>
    </row>
    <row r="133" spans="25:27" ht="15.75" customHeight="1" x14ac:dyDescent="0.2">
      <c r="Y133" s="1"/>
      <c r="Z133" s="1"/>
      <c r="AA133" s="1"/>
    </row>
    <row r="134" spans="25:27" ht="15.75" customHeight="1" x14ac:dyDescent="0.2">
      <c r="Y134" s="1"/>
      <c r="Z134" s="1"/>
      <c r="AA134" s="1"/>
    </row>
    <row r="135" spans="25:27" ht="15.75" customHeight="1" x14ac:dyDescent="0.2">
      <c r="Y135" s="1"/>
      <c r="Z135" s="1"/>
      <c r="AA135" s="1"/>
    </row>
    <row r="136" spans="25:27" ht="15.75" customHeight="1" x14ac:dyDescent="0.2">
      <c r="Y136" s="1"/>
      <c r="Z136" s="1"/>
      <c r="AA136" s="1"/>
    </row>
    <row r="137" spans="25:27" ht="15.75" customHeight="1" x14ac:dyDescent="0.2">
      <c r="Y137" s="1"/>
      <c r="Z137" s="1"/>
      <c r="AA137" s="1"/>
    </row>
    <row r="138" spans="25:27" ht="15.75" customHeight="1" x14ac:dyDescent="0.2">
      <c r="Y138" s="1"/>
      <c r="Z138" s="1"/>
      <c r="AA138" s="1"/>
    </row>
    <row r="139" spans="25:27" ht="15.75" customHeight="1" x14ac:dyDescent="0.2">
      <c r="Y139" s="1"/>
      <c r="Z139" s="1"/>
      <c r="AA139" s="1"/>
    </row>
    <row r="140" spans="25:27" ht="15.75" customHeight="1" x14ac:dyDescent="0.2">
      <c r="Y140" s="1"/>
      <c r="Z140" s="1"/>
      <c r="AA140" s="1"/>
    </row>
    <row r="141" spans="25:27" ht="15.75" customHeight="1" x14ac:dyDescent="0.2">
      <c r="Y141" s="1"/>
      <c r="Z141" s="1"/>
      <c r="AA141" s="1"/>
    </row>
    <row r="142" spans="25:27" ht="15.75" customHeight="1" x14ac:dyDescent="0.2">
      <c r="Y142" s="1"/>
      <c r="Z142" s="1"/>
      <c r="AA142" s="1"/>
    </row>
    <row r="143" spans="25:27" ht="15.75" customHeight="1" x14ac:dyDescent="0.2">
      <c r="Y143" s="1"/>
      <c r="Z143" s="1"/>
      <c r="AA143" s="1"/>
    </row>
    <row r="144" spans="25:27" ht="15.75" customHeight="1" x14ac:dyDescent="0.2">
      <c r="Y144" s="1"/>
      <c r="Z144" s="1"/>
      <c r="AA144" s="1"/>
    </row>
    <row r="145" spans="25:27" ht="15.75" customHeight="1" x14ac:dyDescent="0.2">
      <c r="Y145" s="1"/>
      <c r="Z145" s="1"/>
      <c r="AA145" s="1"/>
    </row>
    <row r="146" spans="25:27" ht="15.75" customHeight="1" x14ac:dyDescent="0.2">
      <c r="Y146" s="1"/>
      <c r="Z146" s="1"/>
      <c r="AA146" s="1"/>
    </row>
    <row r="147" spans="25:27" ht="15.75" customHeight="1" x14ac:dyDescent="0.2">
      <c r="Y147" s="1"/>
      <c r="Z147" s="1"/>
      <c r="AA147" s="1"/>
    </row>
    <row r="148" spans="25:27" ht="15.75" customHeight="1" x14ac:dyDescent="0.2">
      <c r="Y148" s="1"/>
      <c r="Z148" s="1"/>
      <c r="AA148" s="1"/>
    </row>
    <row r="149" spans="25:27" ht="15.75" customHeight="1" x14ac:dyDescent="0.2">
      <c r="Y149" s="1"/>
      <c r="Z149" s="1"/>
      <c r="AA149" s="1"/>
    </row>
    <row r="150" spans="25:27" ht="15.75" customHeight="1" x14ac:dyDescent="0.2">
      <c r="Y150" s="1"/>
      <c r="Z150" s="1"/>
      <c r="AA150" s="1"/>
    </row>
    <row r="151" spans="25:27" ht="15.75" customHeight="1" x14ac:dyDescent="0.2">
      <c r="Y151" s="1"/>
      <c r="Z151" s="1"/>
      <c r="AA151" s="1"/>
    </row>
    <row r="152" spans="25:27" ht="15.75" customHeight="1" x14ac:dyDescent="0.2">
      <c r="Y152" s="1"/>
      <c r="Z152" s="1"/>
      <c r="AA152" s="1"/>
    </row>
    <row r="153" spans="25:27" ht="15.75" customHeight="1" x14ac:dyDescent="0.2">
      <c r="Y153" s="1"/>
      <c r="Z153" s="1"/>
      <c r="AA153" s="1"/>
    </row>
    <row r="154" spans="25:27" ht="15.75" customHeight="1" x14ac:dyDescent="0.2">
      <c r="Y154" s="1"/>
      <c r="Z154" s="1"/>
      <c r="AA154" s="1"/>
    </row>
    <row r="155" spans="25:27" ht="15.75" customHeight="1" x14ac:dyDescent="0.2">
      <c r="Y155" s="1"/>
      <c r="Z155" s="1"/>
      <c r="AA155" s="1"/>
    </row>
    <row r="156" spans="25:27" ht="15.75" customHeight="1" x14ac:dyDescent="0.2">
      <c r="Y156" s="1"/>
      <c r="Z156" s="1"/>
      <c r="AA156" s="1"/>
    </row>
    <row r="157" spans="25:27" ht="15.75" customHeight="1" x14ac:dyDescent="0.2">
      <c r="Y157" s="1"/>
      <c r="Z157" s="1"/>
      <c r="AA157" s="1"/>
    </row>
    <row r="158" spans="25:27" ht="15.75" customHeight="1" x14ac:dyDescent="0.2">
      <c r="Y158" s="1"/>
      <c r="Z158" s="1"/>
      <c r="AA158" s="1"/>
    </row>
    <row r="159" spans="25:27" ht="15.75" customHeight="1" x14ac:dyDescent="0.2">
      <c r="Y159" s="1"/>
      <c r="Z159" s="1"/>
      <c r="AA159" s="1"/>
    </row>
    <row r="160" spans="25:27" ht="15.75" customHeight="1" x14ac:dyDescent="0.2">
      <c r="Y160" s="1"/>
      <c r="Z160" s="1"/>
      <c r="AA160" s="1"/>
    </row>
    <row r="161" spans="25:27" ht="15.75" customHeight="1" x14ac:dyDescent="0.2">
      <c r="Y161" s="1"/>
      <c r="Z161" s="1"/>
      <c r="AA161" s="1"/>
    </row>
    <row r="162" spans="25:27" ht="15.75" customHeight="1" x14ac:dyDescent="0.2">
      <c r="Y162" s="1"/>
      <c r="Z162" s="1"/>
      <c r="AA162" s="1"/>
    </row>
    <row r="163" spans="25:27" ht="15.75" customHeight="1" x14ac:dyDescent="0.2">
      <c r="Y163" s="1"/>
      <c r="Z163" s="1"/>
      <c r="AA163" s="1"/>
    </row>
    <row r="164" spans="25:27" ht="15.75" customHeight="1" x14ac:dyDescent="0.2">
      <c r="Y164" s="1"/>
      <c r="Z164" s="1"/>
      <c r="AA164" s="1"/>
    </row>
    <row r="165" spans="25:27" ht="15.75" customHeight="1" x14ac:dyDescent="0.2">
      <c r="Y165" s="1"/>
      <c r="Z165" s="1"/>
      <c r="AA165" s="1"/>
    </row>
    <row r="166" spans="25:27" ht="15.75" customHeight="1" x14ac:dyDescent="0.2">
      <c r="Y166" s="1"/>
      <c r="Z166" s="1"/>
      <c r="AA166" s="1"/>
    </row>
    <row r="167" spans="25:27" ht="15.75" customHeight="1" x14ac:dyDescent="0.2">
      <c r="Y167" s="1"/>
      <c r="Z167" s="1"/>
      <c r="AA167" s="1"/>
    </row>
    <row r="168" spans="25:27" ht="15.75" customHeight="1" x14ac:dyDescent="0.2">
      <c r="Y168" s="1"/>
      <c r="Z168" s="1"/>
      <c r="AA168" s="1"/>
    </row>
    <row r="169" spans="25:27" ht="15.75" customHeight="1" x14ac:dyDescent="0.2">
      <c r="Y169" s="1"/>
      <c r="Z169" s="1"/>
      <c r="AA169" s="1"/>
    </row>
    <row r="170" spans="25:27" ht="15.75" customHeight="1" x14ac:dyDescent="0.2">
      <c r="Y170" s="1"/>
      <c r="Z170" s="1"/>
      <c r="AA170" s="1"/>
    </row>
    <row r="171" spans="25:27" ht="15.75" customHeight="1" x14ac:dyDescent="0.2">
      <c r="Y171" s="1"/>
      <c r="Z171" s="1"/>
      <c r="AA171" s="1"/>
    </row>
    <row r="172" spans="25:27" ht="15.75" customHeight="1" x14ac:dyDescent="0.2">
      <c r="Y172" s="1"/>
      <c r="Z172" s="1"/>
      <c r="AA172" s="1"/>
    </row>
    <row r="173" spans="25:27" ht="15.75" customHeight="1" x14ac:dyDescent="0.2">
      <c r="Y173" s="1"/>
      <c r="Z173" s="1"/>
      <c r="AA173" s="1"/>
    </row>
    <row r="174" spans="25:27" ht="15.75" customHeight="1" x14ac:dyDescent="0.2">
      <c r="Y174" s="1"/>
      <c r="Z174" s="1"/>
      <c r="AA174" s="1"/>
    </row>
    <row r="175" spans="25:27" ht="15.75" customHeight="1" x14ac:dyDescent="0.2">
      <c r="Y175" s="1"/>
      <c r="Z175" s="1"/>
      <c r="AA175" s="1"/>
    </row>
    <row r="176" spans="25:27" ht="15.75" customHeight="1" x14ac:dyDescent="0.2">
      <c r="Y176" s="1"/>
      <c r="Z176" s="1"/>
      <c r="AA176" s="1"/>
    </row>
    <row r="177" spans="25:27" ht="15.75" customHeight="1" x14ac:dyDescent="0.2">
      <c r="Y177" s="1"/>
      <c r="Z177" s="1"/>
      <c r="AA177" s="1"/>
    </row>
    <row r="178" spans="25:27" ht="15.75" customHeight="1" x14ac:dyDescent="0.2">
      <c r="Y178" s="1"/>
      <c r="Z178" s="1"/>
      <c r="AA178" s="1"/>
    </row>
    <row r="179" spans="25:27" ht="15.75" customHeight="1" x14ac:dyDescent="0.2">
      <c r="Y179" s="1"/>
      <c r="Z179" s="1"/>
      <c r="AA179" s="1"/>
    </row>
    <row r="180" spans="25:27" ht="15.75" customHeight="1" x14ac:dyDescent="0.2">
      <c r="Y180" s="1"/>
      <c r="Z180" s="1"/>
      <c r="AA180" s="1"/>
    </row>
    <row r="181" spans="25:27" ht="15.75" customHeight="1" x14ac:dyDescent="0.2">
      <c r="Y181" s="1"/>
      <c r="Z181" s="1"/>
      <c r="AA181" s="1"/>
    </row>
    <row r="182" spans="25:27" ht="15.75" customHeight="1" x14ac:dyDescent="0.2">
      <c r="Y182" s="1"/>
      <c r="Z182" s="1"/>
      <c r="AA182" s="1"/>
    </row>
    <row r="183" spans="25:27" ht="15.75" customHeight="1" x14ac:dyDescent="0.2">
      <c r="Y183" s="1"/>
      <c r="Z183" s="1"/>
      <c r="AA183" s="1"/>
    </row>
    <row r="184" spans="25:27" ht="15.75" customHeight="1" x14ac:dyDescent="0.2">
      <c r="Y184" s="1"/>
      <c r="Z184" s="1"/>
      <c r="AA184" s="1"/>
    </row>
    <row r="185" spans="25:27" ht="15.75" customHeight="1" x14ac:dyDescent="0.2">
      <c r="Y185" s="1"/>
      <c r="Z185" s="1"/>
      <c r="AA185" s="1"/>
    </row>
    <row r="186" spans="25:27" ht="15.75" customHeight="1" x14ac:dyDescent="0.2">
      <c r="Y186" s="1"/>
      <c r="Z186" s="1"/>
      <c r="AA186" s="1"/>
    </row>
    <row r="187" spans="25:27" ht="15.75" customHeight="1" x14ac:dyDescent="0.2">
      <c r="Y187" s="1"/>
      <c r="Z187" s="1"/>
      <c r="AA187" s="1"/>
    </row>
    <row r="188" spans="25:27" ht="15.75" customHeight="1" x14ac:dyDescent="0.2">
      <c r="Y188" s="1"/>
      <c r="Z188" s="1"/>
      <c r="AA188" s="1"/>
    </row>
    <row r="189" spans="25:27" ht="15.75" customHeight="1" x14ac:dyDescent="0.2">
      <c r="Y189" s="1"/>
      <c r="Z189" s="1"/>
      <c r="AA189" s="1"/>
    </row>
    <row r="190" spans="25:27" ht="15.75" customHeight="1" x14ac:dyDescent="0.2">
      <c r="Y190" s="1"/>
      <c r="Z190" s="1"/>
      <c r="AA190" s="1"/>
    </row>
    <row r="191" spans="25:27" ht="15.75" customHeight="1" x14ac:dyDescent="0.2">
      <c r="Y191" s="1"/>
      <c r="Z191" s="1"/>
      <c r="AA191" s="1"/>
    </row>
    <row r="192" spans="25:27" ht="15.75" customHeight="1" x14ac:dyDescent="0.2">
      <c r="Y192" s="1"/>
      <c r="Z192" s="1"/>
      <c r="AA192" s="1"/>
    </row>
    <row r="193" spans="6:27" ht="15.75" customHeight="1" x14ac:dyDescent="0.2">
      <c r="Y193" s="1"/>
      <c r="Z193" s="1"/>
      <c r="AA193" s="1"/>
    </row>
    <row r="194" spans="6:27" ht="15.75" customHeight="1" x14ac:dyDescent="0.2">
      <c r="Y194" s="1"/>
      <c r="Z194" s="1"/>
      <c r="AA194" s="1"/>
    </row>
    <row r="195" spans="6:27" ht="15.75" customHeight="1" x14ac:dyDescent="0.2">
      <c r="Y195" s="1"/>
      <c r="Z195" s="1"/>
      <c r="AA195" s="1"/>
    </row>
    <row r="196" spans="6:27" ht="15.75" customHeight="1" x14ac:dyDescent="0.2">
      <c r="F196" s="14"/>
      <c r="G196" s="14"/>
      <c r="Y196" s="1"/>
      <c r="Z196" s="1"/>
      <c r="AA196" s="1"/>
    </row>
    <row r="197" spans="6:27" ht="15.75" customHeight="1" x14ac:dyDescent="0.2">
      <c r="Y197" s="1"/>
      <c r="Z197" s="1"/>
      <c r="AA197" s="1"/>
    </row>
    <row r="198" spans="6:27" ht="15.75" customHeight="1" x14ac:dyDescent="0.2">
      <c r="Y198" s="1"/>
      <c r="Z198" s="1"/>
      <c r="AA198" s="1"/>
    </row>
    <row r="199" spans="6:27" ht="15.75" customHeight="1" x14ac:dyDescent="0.2">
      <c r="Y199" s="1"/>
      <c r="Z199" s="1"/>
      <c r="AA199" s="1"/>
    </row>
    <row r="200" spans="6:27" ht="15.75" customHeight="1" x14ac:dyDescent="0.2">
      <c r="Y200" s="1"/>
      <c r="Z200" s="1"/>
      <c r="AA200" s="1"/>
    </row>
    <row r="201" spans="6:27" ht="15.75" customHeight="1" x14ac:dyDescent="0.2">
      <c r="Y201" s="1"/>
      <c r="Z201" s="1"/>
      <c r="AA201" s="1"/>
    </row>
    <row r="202" spans="6:27" ht="15.75" customHeight="1" x14ac:dyDescent="0.2">
      <c r="Y202" s="1"/>
      <c r="Z202" s="1"/>
      <c r="AA202" s="1"/>
    </row>
    <row r="203" spans="6:27" ht="15.75" customHeight="1" x14ac:dyDescent="0.2">
      <c r="Y203" s="1"/>
      <c r="Z203" s="1"/>
      <c r="AA203" s="1"/>
    </row>
    <row r="204" spans="6:27" ht="15.75" customHeight="1" x14ac:dyDescent="0.2">
      <c r="Y204" s="1"/>
      <c r="Z204" s="1"/>
      <c r="AA204" s="1"/>
    </row>
    <row r="205" spans="6:27" ht="15.75" customHeight="1" x14ac:dyDescent="0.2">
      <c r="Y205" s="1"/>
      <c r="Z205" s="1"/>
      <c r="AA205" s="1"/>
    </row>
    <row r="206" spans="6:27" ht="15.75" customHeight="1" x14ac:dyDescent="0.2">
      <c r="Y206" s="1"/>
      <c r="Z206" s="1"/>
      <c r="AA206" s="1"/>
    </row>
    <row r="207" spans="6:27" ht="15.75" customHeight="1" x14ac:dyDescent="0.2">
      <c r="Y207" s="1"/>
      <c r="Z207" s="1"/>
      <c r="AA207" s="1"/>
    </row>
    <row r="208" spans="6:27" ht="15.75" customHeight="1" x14ac:dyDescent="0.2">
      <c r="Y208" s="1"/>
      <c r="Z208" s="1"/>
      <c r="AA208" s="1"/>
    </row>
    <row r="209" spans="25:27" ht="15.75" customHeight="1" x14ac:dyDescent="0.2">
      <c r="Y209" s="1"/>
      <c r="Z209" s="1"/>
      <c r="AA209" s="1"/>
    </row>
    <row r="210" spans="25:27" ht="15.75" customHeight="1" x14ac:dyDescent="0.2">
      <c r="Y210" s="1"/>
      <c r="Z210" s="1"/>
      <c r="AA210" s="1"/>
    </row>
    <row r="211" spans="25:27" ht="15.75" customHeight="1" x14ac:dyDescent="0.2">
      <c r="Y211" s="1"/>
      <c r="Z211" s="1"/>
      <c r="AA211" s="1"/>
    </row>
    <row r="212" spans="25:27" ht="15.75" customHeight="1" x14ac:dyDescent="0.2">
      <c r="Y212" s="1"/>
      <c r="Z212" s="1"/>
      <c r="AA212" s="1"/>
    </row>
    <row r="213" spans="25:27" ht="15.75" customHeight="1" x14ac:dyDescent="0.2">
      <c r="Y213" s="1"/>
      <c r="Z213" s="1"/>
      <c r="AA213" s="1"/>
    </row>
    <row r="214" spans="25:27" ht="15.75" customHeight="1" x14ac:dyDescent="0.2">
      <c r="Y214" s="1"/>
      <c r="Z214" s="1"/>
      <c r="AA214" s="1"/>
    </row>
    <row r="215" spans="25:27" ht="15.75" customHeight="1" x14ac:dyDescent="0.2">
      <c r="Y215" s="1"/>
      <c r="Z215" s="1"/>
      <c r="AA215" s="1"/>
    </row>
    <row r="216" spans="25:27" ht="15.75" customHeight="1" x14ac:dyDescent="0.2">
      <c r="Y216" s="1"/>
      <c r="Z216" s="1"/>
      <c r="AA216" s="1"/>
    </row>
    <row r="217" spans="25:27" ht="15.75" customHeight="1" x14ac:dyDescent="0.2">
      <c r="Y217" s="1"/>
      <c r="Z217" s="1"/>
      <c r="AA217" s="1"/>
    </row>
    <row r="218" spans="25:27" ht="15.75" customHeight="1" x14ac:dyDescent="0.2">
      <c r="Y218" s="1"/>
      <c r="Z218" s="1"/>
      <c r="AA218" s="1"/>
    </row>
    <row r="219" spans="25:27" ht="15.75" customHeight="1" x14ac:dyDescent="0.2">
      <c r="Y219" s="1"/>
      <c r="Z219" s="1"/>
      <c r="AA219" s="1"/>
    </row>
    <row r="220" spans="25:27" ht="15.75" customHeight="1" x14ac:dyDescent="0.2">
      <c r="Y220" s="1"/>
      <c r="Z220" s="1"/>
      <c r="AA220" s="1"/>
    </row>
    <row r="221" spans="25:27" ht="15.75" customHeight="1" x14ac:dyDescent="0.2">
      <c r="Y221" s="1"/>
      <c r="Z221" s="1"/>
      <c r="AA221" s="1"/>
    </row>
    <row r="222" spans="25:27" ht="15.75" customHeight="1" x14ac:dyDescent="0.2">
      <c r="Y222" s="1"/>
      <c r="Z222" s="1"/>
      <c r="AA222" s="1"/>
    </row>
    <row r="223" spans="25:27" ht="15.75" customHeight="1" x14ac:dyDescent="0.2">
      <c r="Y223" s="1"/>
      <c r="Z223" s="1"/>
      <c r="AA223" s="1"/>
    </row>
    <row r="224" spans="25:27" ht="15.75" customHeight="1" x14ac:dyDescent="0.2">
      <c r="Y224" s="1"/>
      <c r="Z224" s="1"/>
      <c r="AA224" s="1"/>
    </row>
    <row r="225" spans="25:27" ht="15.75" customHeight="1" x14ac:dyDescent="0.2">
      <c r="Y225" s="1"/>
      <c r="Z225" s="1"/>
      <c r="AA225" s="1"/>
    </row>
    <row r="226" spans="25:27" ht="15.75" customHeight="1" x14ac:dyDescent="0.2">
      <c r="Y226" s="1"/>
      <c r="Z226" s="1"/>
      <c r="AA226" s="1"/>
    </row>
    <row r="227" spans="25:27" ht="15.75" customHeight="1" x14ac:dyDescent="0.2">
      <c r="Y227" s="1"/>
      <c r="Z227" s="1"/>
      <c r="AA227" s="1"/>
    </row>
    <row r="228" spans="25:27" ht="15.75" customHeight="1" x14ac:dyDescent="0.2">
      <c r="Y228" s="1"/>
      <c r="Z228" s="1"/>
      <c r="AA228" s="1"/>
    </row>
    <row r="229" spans="25:27" ht="15.75" customHeight="1" x14ac:dyDescent="0.2">
      <c r="Y229" s="1"/>
      <c r="Z229" s="1"/>
      <c r="AA229" s="1"/>
    </row>
    <row r="230" spans="25:27" ht="15.75" customHeight="1" x14ac:dyDescent="0.2">
      <c r="Y230" s="1"/>
      <c r="Z230" s="1"/>
      <c r="AA230" s="1"/>
    </row>
    <row r="231" spans="25:27" ht="15.75" customHeight="1" x14ac:dyDescent="0.2">
      <c r="Y231" s="1"/>
      <c r="Z231" s="1"/>
      <c r="AA231" s="1"/>
    </row>
    <row r="232" spans="25:27" ht="15.75" customHeight="1" x14ac:dyDescent="0.2">
      <c r="Y232" s="1"/>
      <c r="Z232" s="1"/>
      <c r="AA232" s="1"/>
    </row>
    <row r="233" spans="25:27" ht="15.75" customHeight="1" x14ac:dyDescent="0.2">
      <c r="Y233" s="1"/>
      <c r="Z233" s="1"/>
      <c r="AA233" s="1"/>
    </row>
    <row r="234" spans="25:27" ht="15.75" customHeight="1" x14ac:dyDescent="0.2">
      <c r="Y234" s="1"/>
      <c r="Z234" s="1"/>
      <c r="AA234" s="1"/>
    </row>
    <row r="235" spans="25:27" ht="15.75" customHeight="1" x14ac:dyDescent="0.2">
      <c r="Y235" s="1"/>
      <c r="Z235" s="1"/>
      <c r="AA235" s="1"/>
    </row>
    <row r="236" spans="25:27" ht="15.75" customHeight="1" x14ac:dyDescent="0.2">
      <c r="Y236" s="1"/>
      <c r="Z236" s="1"/>
      <c r="AA236" s="1"/>
    </row>
    <row r="237" spans="25:27" ht="15.75" customHeight="1" x14ac:dyDescent="0.2">
      <c r="Y237" s="1"/>
      <c r="Z237" s="1"/>
      <c r="AA237" s="1"/>
    </row>
    <row r="238" spans="25:27" ht="15.75" customHeight="1" x14ac:dyDescent="0.2">
      <c r="Y238" s="1"/>
      <c r="Z238" s="1"/>
      <c r="AA238" s="1"/>
    </row>
    <row r="239" spans="25:27" ht="15.75" customHeight="1" x14ac:dyDescent="0.2">
      <c r="Y239" s="1"/>
      <c r="Z239" s="1"/>
      <c r="AA239" s="1"/>
    </row>
    <row r="240" spans="25:27" ht="15.75" customHeight="1" x14ac:dyDescent="0.2">
      <c r="Y240" s="1"/>
      <c r="Z240" s="1"/>
      <c r="AA240" s="1"/>
    </row>
    <row r="241" spans="25:27" ht="15.75" customHeight="1" x14ac:dyDescent="0.2">
      <c r="Y241" s="1"/>
      <c r="Z241" s="1"/>
      <c r="AA241" s="1"/>
    </row>
    <row r="242" spans="25:27" ht="15.75" customHeight="1" x14ac:dyDescent="0.2">
      <c r="Y242" s="1"/>
      <c r="Z242" s="1"/>
      <c r="AA242" s="1"/>
    </row>
    <row r="243" spans="25:27" ht="15.75" customHeight="1" x14ac:dyDescent="0.2">
      <c r="Y243" s="1"/>
      <c r="Z243" s="1"/>
      <c r="AA243" s="1"/>
    </row>
    <row r="244" spans="25:27" ht="15.75" customHeight="1" x14ac:dyDescent="0.2">
      <c r="Y244" s="1"/>
      <c r="Z244" s="1"/>
      <c r="AA244" s="1"/>
    </row>
    <row r="245" spans="25:27" ht="15.75" customHeight="1" x14ac:dyDescent="0.2">
      <c r="Y245" s="1"/>
      <c r="Z245" s="1"/>
      <c r="AA245" s="1"/>
    </row>
    <row r="246" spans="25:27" ht="15.75" customHeight="1" x14ac:dyDescent="0.2">
      <c r="Y246" s="1"/>
      <c r="Z246" s="1"/>
      <c r="AA246" s="1"/>
    </row>
    <row r="247" spans="25:27" ht="15.75" customHeight="1" x14ac:dyDescent="0.2">
      <c r="Y247" s="1"/>
      <c r="Z247" s="1"/>
      <c r="AA247" s="1"/>
    </row>
    <row r="248" spans="25:27" ht="15.75" customHeight="1" x14ac:dyDescent="0.2">
      <c r="Y248" s="1"/>
      <c r="Z248" s="1"/>
      <c r="AA248" s="1"/>
    </row>
    <row r="249" spans="25:27" ht="15.75" customHeight="1" x14ac:dyDescent="0.2">
      <c r="Y249" s="1"/>
      <c r="Z249" s="1"/>
      <c r="AA249" s="1"/>
    </row>
    <row r="250" spans="25:27" ht="15.75" customHeight="1" x14ac:dyDescent="0.2">
      <c r="Y250" s="1"/>
      <c r="Z250" s="1"/>
      <c r="AA250" s="1"/>
    </row>
    <row r="251" spans="25:27" ht="15.75" customHeight="1" x14ac:dyDescent="0.2">
      <c r="Y251" s="1"/>
      <c r="Z251" s="1"/>
      <c r="AA251" s="1"/>
    </row>
    <row r="252" spans="25:27" ht="15.75" customHeight="1" x14ac:dyDescent="0.2">
      <c r="Y252" s="1"/>
      <c r="Z252" s="1"/>
      <c r="AA252" s="1"/>
    </row>
    <row r="253" spans="25:27" ht="15.75" customHeight="1" x14ac:dyDescent="0.2">
      <c r="Y253" s="1"/>
      <c r="Z253" s="1"/>
      <c r="AA253" s="1"/>
    </row>
    <row r="254" spans="25:27" ht="15.75" customHeight="1" x14ac:dyDescent="0.2">
      <c r="Y254" s="1"/>
      <c r="Z254" s="1"/>
      <c r="AA254" s="1"/>
    </row>
    <row r="255" spans="25:27" ht="15.75" customHeight="1" x14ac:dyDescent="0.2">
      <c r="Y255" s="1"/>
      <c r="Z255" s="1"/>
      <c r="AA255" s="1"/>
    </row>
    <row r="256" spans="25:27" ht="15.75" customHeight="1" x14ac:dyDescent="0.2">
      <c r="Y256" s="1"/>
      <c r="Z256" s="1"/>
      <c r="AA256" s="1"/>
    </row>
    <row r="257" spans="25:27" ht="15.75" customHeight="1" x14ac:dyDescent="0.2">
      <c r="Y257" s="1"/>
      <c r="Z257" s="1"/>
      <c r="AA257" s="1"/>
    </row>
    <row r="258" spans="25:27" ht="15.75" customHeight="1" x14ac:dyDescent="0.2">
      <c r="Y258" s="1"/>
      <c r="Z258" s="1"/>
      <c r="AA258" s="1"/>
    </row>
    <row r="259" spans="25:27" ht="15.75" customHeight="1" x14ac:dyDescent="0.2">
      <c r="Y259" s="1"/>
      <c r="Z259" s="1"/>
      <c r="AA259" s="1"/>
    </row>
    <row r="260" spans="25:27" ht="15.75" customHeight="1" x14ac:dyDescent="0.2">
      <c r="Y260" s="1"/>
      <c r="Z260" s="1"/>
      <c r="AA260" s="1"/>
    </row>
    <row r="261" spans="25:27" ht="15.75" customHeight="1" x14ac:dyDescent="0.2">
      <c r="Y261" s="1"/>
      <c r="Z261" s="1"/>
      <c r="AA261" s="1"/>
    </row>
    <row r="262" spans="25:27" ht="15.75" customHeight="1" x14ac:dyDescent="0.2">
      <c r="Y262" s="1"/>
      <c r="Z262" s="1"/>
      <c r="AA262" s="1"/>
    </row>
    <row r="263" spans="25:27" ht="15.75" customHeight="1" x14ac:dyDescent="0.2">
      <c r="Y263" s="1"/>
      <c r="Z263" s="1"/>
      <c r="AA263" s="1"/>
    </row>
    <row r="264" spans="25:27" ht="15.75" customHeight="1" x14ac:dyDescent="0.2">
      <c r="Y264" s="1"/>
      <c r="Z264" s="1"/>
      <c r="AA264" s="1"/>
    </row>
    <row r="265" spans="25:27" ht="15.75" customHeight="1" x14ac:dyDescent="0.2">
      <c r="Y265" s="1"/>
      <c r="Z265" s="1"/>
      <c r="AA265" s="1"/>
    </row>
    <row r="266" spans="25:27" ht="15.75" customHeight="1" x14ac:dyDescent="0.2">
      <c r="Y266" s="1"/>
      <c r="Z266" s="1"/>
      <c r="AA266" s="1"/>
    </row>
    <row r="267" spans="25:27" ht="15.75" customHeight="1" x14ac:dyDescent="0.2">
      <c r="Y267" s="1"/>
      <c r="Z267" s="1"/>
      <c r="AA267" s="1"/>
    </row>
    <row r="268" spans="25:27" ht="15.75" customHeight="1" x14ac:dyDescent="0.2">
      <c r="Y268" s="1"/>
      <c r="Z268" s="1"/>
      <c r="AA268" s="1"/>
    </row>
    <row r="269" spans="25:27" ht="15.75" customHeight="1" x14ac:dyDescent="0.2">
      <c r="Y269" s="1"/>
      <c r="Z269" s="1"/>
      <c r="AA269" s="1"/>
    </row>
    <row r="270" spans="25:27" ht="15.75" customHeight="1" x14ac:dyDescent="0.2">
      <c r="Y270" s="1"/>
      <c r="Z270" s="1"/>
      <c r="AA270" s="1"/>
    </row>
    <row r="271" spans="25:27" ht="15.75" customHeight="1" x14ac:dyDescent="0.2">
      <c r="Y271" s="1"/>
      <c r="Z271" s="1"/>
      <c r="AA271" s="1"/>
    </row>
    <row r="272" spans="25:27" ht="15.75" customHeight="1" x14ac:dyDescent="0.2">
      <c r="Y272" s="1"/>
      <c r="Z272" s="1"/>
      <c r="AA272" s="1"/>
    </row>
    <row r="273" spans="25:27" ht="15.75" customHeight="1" x14ac:dyDescent="0.2">
      <c r="Y273" s="1"/>
      <c r="Z273" s="1"/>
      <c r="AA273" s="1"/>
    </row>
    <row r="274" spans="25:27" ht="15.75" customHeight="1" x14ac:dyDescent="0.2">
      <c r="Y274" s="1"/>
      <c r="Z274" s="1"/>
      <c r="AA274" s="1"/>
    </row>
    <row r="275" spans="25:27" ht="15.75" customHeight="1" x14ac:dyDescent="0.2">
      <c r="Y275" s="1"/>
      <c r="Z275" s="1"/>
      <c r="AA275" s="1"/>
    </row>
    <row r="276" spans="25:27" ht="15.75" customHeight="1" x14ac:dyDescent="0.2">
      <c r="Y276" s="1"/>
      <c r="Z276" s="1"/>
      <c r="AA276" s="1"/>
    </row>
    <row r="277" spans="25:27" ht="15.75" customHeight="1" x14ac:dyDescent="0.2">
      <c r="Y277" s="1"/>
      <c r="Z277" s="1"/>
      <c r="AA277" s="1"/>
    </row>
    <row r="278" spans="25:27" ht="15.75" customHeight="1" x14ac:dyDescent="0.2">
      <c r="Y278" s="1"/>
      <c r="Z278" s="1"/>
      <c r="AA278" s="1"/>
    </row>
    <row r="279" spans="25:27" ht="15.75" customHeight="1" x14ac:dyDescent="0.2">
      <c r="Y279" s="1"/>
      <c r="Z279" s="1"/>
      <c r="AA279" s="1"/>
    </row>
    <row r="280" spans="25:27" ht="15.75" customHeight="1" x14ac:dyDescent="0.2">
      <c r="Y280" s="1"/>
      <c r="Z280" s="1"/>
      <c r="AA280" s="1"/>
    </row>
    <row r="281" spans="25:27" ht="15.75" customHeight="1" x14ac:dyDescent="0.2">
      <c r="Y281" s="1"/>
      <c r="Z281" s="1"/>
      <c r="AA281" s="1"/>
    </row>
    <row r="282" spans="25:27" ht="15.75" customHeight="1" x14ac:dyDescent="0.2">
      <c r="Y282" s="1"/>
      <c r="Z282" s="1"/>
      <c r="AA282" s="1"/>
    </row>
    <row r="283" spans="25:27" ht="15.75" customHeight="1" x14ac:dyDescent="0.2">
      <c r="Y283" s="1"/>
      <c r="Z283" s="1"/>
      <c r="AA283" s="1"/>
    </row>
    <row r="284" spans="25:27" ht="15.75" customHeight="1" x14ac:dyDescent="0.2">
      <c r="Y284" s="1"/>
      <c r="Z284" s="1"/>
      <c r="AA284" s="1"/>
    </row>
    <row r="285" spans="25:27" ht="15.75" customHeight="1" x14ac:dyDescent="0.2">
      <c r="Y285" s="1"/>
      <c r="Z285" s="1"/>
      <c r="AA285" s="1"/>
    </row>
    <row r="286" spans="25:27" ht="15.75" customHeight="1" x14ac:dyDescent="0.2">
      <c r="Y286" s="1"/>
      <c r="Z286" s="1"/>
      <c r="AA286" s="1"/>
    </row>
    <row r="287" spans="25:27" ht="15.75" customHeight="1" x14ac:dyDescent="0.2">
      <c r="Y287" s="1"/>
      <c r="Z287" s="1"/>
      <c r="AA287" s="1"/>
    </row>
    <row r="288" spans="25:27" ht="15.75" customHeight="1" x14ac:dyDescent="0.2">
      <c r="Y288" s="1"/>
      <c r="Z288" s="1"/>
      <c r="AA288" s="1"/>
    </row>
    <row r="289" spans="25:27" ht="15.75" customHeight="1" x14ac:dyDescent="0.2">
      <c r="Y289" s="1"/>
      <c r="Z289" s="1"/>
      <c r="AA289" s="1"/>
    </row>
    <row r="290" spans="25:27" ht="15.75" customHeight="1" x14ac:dyDescent="0.2">
      <c r="Y290" s="1"/>
      <c r="Z290" s="1"/>
      <c r="AA290" s="1"/>
    </row>
    <row r="291" spans="25:27" ht="15.75" customHeight="1" x14ac:dyDescent="0.2">
      <c r="Y291" s="1"/>
      <c r="Z291" s="1"/>
      <c r="AA291" s="1"/>
    </row>
    <row r="292" spans="25:27" ht="15.75" customHeight="1" x14ac:dyDescent="0.2">
      <c r="Y292" s="1"/>
      <c r="Z292" s="1"/>
      <c r="AA292" s="1"/>
    </row>
    <row r="293" spans="25:27" ht="15.75" customHeight="1" x14ac:dyDescent="0.2">
      <c r="Y293" s="1"/>
      <c r="Z293" s="1"/>
      <c r="AA293" s="1"/>
    </row>
    <row r="294" spans="25:27" ht="15.75" customHeight="1" x14ac:dyDescent="0.2">
      <c r="Y294" s="1"/>
      <c r="Z294" s="1"/>
      <c r="AA294" s="1"/>
    </row>
    <row r="295" spans="25:27" ht="15.75" customHeight="1" x14ac:dyDescent="0.2">
      <c r="Y295" s="1"/>
      <c r="Z295" s="1"/>
      <c r="AA295" s="1"/>
    </row>
    <row r="296" spans="25:27" ht="15.75" customHeight="1" x14ac:dyDescent="0.2">
      <c r="Y296" s="1"/>
      <c r="Z296" s="1"/>
      <c r="AA296" s="1"/>
    </row>
    <row r="297" spans="25:27" ht="15.75" customHeight="1" x14ac:dyDescent="0.2">
      <c r="Y297" s="1"/>
      <c r="Z297" s="1"/>
      <c r="AA297" s="1"/>
    </row>
    <row r="298" spans="25:27" ht="15.75" customHeight="1" x14ac:dyDescent="0.2">
      <c r="Y298" s="1"/>
      <c r="Z298" s="1"/>
      <c r="AA298" s="1"/>
    </row>
    <row r="299" spans="25:27" ht="15.75" customHeight="1" x14ac:dyDescent="0.2">
      <c r="Y299" s="1"/>
      <c r="Z299" s="1"/>
      <c r="AA299" s="1"/>
    </row>
    <row r="300" spans="25:27" ht="15.75" customHeight="1" x14ac:dyDescent="0.2">
      <c r="Y300" s="1"/>
      <c r="Z300" s="1"/>
      <c r="AA300" s="1"/>
    </row>
    <row r="301" spans="25:27" ht="15.75" customHeight="1" x14ac:dyDescent="0.2">
      <c r="Y301" s="1"/>
      <c r="Z301" s="1"/>
      <c r="AA301" s="1"/>
    </row>
    <row r="302" spans="25:27" ht="15.75" customHeight="1" x14ac:dyDescent="0.2">
      <c r="Y302" s="1"/>
      <c r="Z302" s="1"/>
      <c r="AA302" s="1"/>
    </row>
    <row r="303" spans="25:27" ht="15.75" customHeight="1" x14ac:dyDescent="0.2">
      <c r="Y303" s="1"/>
      <c r="Z303" s="1"/>
      <c r="AA303" s="1"/>
    </row>
    <row r="304" spans="25:27" ht="15.75" customHeight="1" x14ac:dyDescent="0.2">
      <c r="Y304" s="1"/>
      <c r="Z304" s="1"/>
      <c r="AA304" s="1"/>
    </row>
    <row r="305" spans="25:27" ht="15.75" customHeight="1" x14ac:dyDescent="0.2">
      <c r="Y305" s="1"/>
      <c r="Z305" s="1"/>
      <c r="AA305" s="1"/>
    </row>
    <row r="306" spans="25:27" ht="15.75" customHeight="1" x14ac:dyDescent="0.2">
      <c r="Y306" s="1"/>
      <c r="Z306" s="1"/>
      <c r="AA306" s="1"/>
    </row>
    <row r="307" spans="25:27" ht="15.75" customHeight="1" x14ac:dyDescent="0.2">
      <c r="Y307" s="1"/>
      <c r="Z307" s="1"/>
      <c r="AA307" s="1"/>
    </row>
    <row r="308" spans="25:27" ht="15.75" customHeight="1" x14ac:dyDescent="0.2">
      <c r="Y308" s="1"/>
      <c r="Z308" s="1"/>
      <c r="AA308" s="1"/>
    </row>
    <row r="309" spans="25:27" ht="15.75" customHeight="1" x14ac:dyDescent="0.2">
      <c r="Y309" s="1"/>
      <c r="Z309" s="1"/>
      <c r="AA309" s="1"/>
    </row>
    <row r="310" spans="25:27" ht="15.75" customHeight="1" x14ac:dyDescent="0.2">
      <c r="Y310" s="1"/>
      <c r="Z310" s="1"/>
      <c r="AA310" s="1"/>
    </row>
    <row r="311" spans="25:27" ht="15.75" customHeight="1" x14ac:dyDescent="0.2">
      <c r="Y311" s="1"/>
      <c r="Z311" s="1"/>
      <c r="AA311" s="1"/>
    </row>
    <row r="312" spans="25:27" ht="15.75" customHeight="1" x14ac:dyDescent="0.2">
      <c r="Y312" s="1"/>
      <c r="Z312" s="1"/>
      <c r="AA312" s="1"/>
    </row>
    <row r="313" spans="25:27" ht="15.75" customHeight="1" x14ac:dyDescent="0.15"/>
    <row r="314" spans="25:27" ht="15.75" customHeight="1" x14ac:dyDescent="0.15"/>
    <row r="315" spans="25:27" ht="15.75" customHeight="1" x14ac:dyDescent="0.15"/>
    <row r="316" spans="25:27" ht="15.75" customHeight="1" x14ac:dyDescent="0.15"/>
    <row r="317" spans="25:27" ht="15.75" customHeight="1" x14ac:dyDescent="0.15"/>
    <row r="318" spans="25:27" ht="15.75" customHeight="1" x14ac:dyDescent="0.15"/>
    <row r="319" spans="25:27" ht="15.75" customHeight="1" x14ac:dyDescent="0.15"/>
    <row r="320" spans="25:27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9">
    <mergeCell ref="I2:M2"/>
    <mergeCell ref="P2:T2"/>
    <mergeCell ref="W2:AA2"/>
    <mergeCell ref="AD2:AH2"/>
    <mergeCell ref="I17:M17"/>
    <mergeCell ref="P17:T17"/>
    <mergeCell ref="AD17:AH17"/>
    <mergeCell ref="W17:AA17"/>
    <mergeCell ref="P55:T55"/>
    <mergeCell ref="W55:AA55"/>
    <mergeCell ref="I63:M63"/>
    <mergeCell ref="P63:T63"/>
    <mergeCell ref="W63:AA63"/>
    <mergeCell ref="I55:M55"/>
    <mergeCell ref="W32:AA32"/>
    <mergeCell ref="AD32:AH32"/>
    <mergeCell ref="I47:M47"/>
    <mergeCell ref="P47:T47"/>
    <mergeCell ref="W47:AA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F1:F1000"/>
  <sheetViews>
    <sheetView tabSelected="1" topLeftCell="A12" workbookViewId="0">
      <selection activeCell="P15" sqref="P15"/>
    </sheetView>
  </sheetViews>
  <sheetFormatPr baseColWidth="10" defaultColWidth="12.6640625" defaultRowHeight="15" customHeight="1" x14ac:dyDescent="0.15"/>
  <cols>
    <col min="1" max="6" width="12.6640625" customWidth="1"/>
  </cols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spans="6:6" ht="15.75" customHeight="1" x14ac:dyDescent="0.15"/>
    <row r="34" spans="6:6" ht="15.75" customHeight="1" x14ac:dyDescent="0.15"/>
    <row r="35" spans="6:6" ht="15.75" customHeight="1" x14ac:dyDescent="0.15"/>
    <row r="36" spans="6:6" ht="15.75" customHeight="1" x14ac:dyDescent="0.15">
      <c r="F36" s="43"/>
    </row>
    <row r="37" spans="6:6" ht="15.75" customHeight="1" x14ac:dyDescent="0.15"/>
    <row r="38" spans="6:6" ht="15.75" customHeight="1" x14ac:dyDescent="0.15"/>
    <row r="39" spans="6:6" ht="15.75" customHeight="1" x14ac:dyDescent="0.15"/>
    <row r="40" spans="6:6" ht="15.75" customHeight="1" x14ac:dyDescent="0.15"/>
    <row r="41" spans="6:6" ht="15.75" customHeight="1" x14ac:dyDescent="0.15"/>
    <row r="42" spans="6:6" ht="15.75" customHeight="1" x14ac:dyDescent="0.15"/>
    <row r="43" spans="6:6" ht="15.75" customHeight="1" x14ac:dyDescent="0.15"/>
    <row r="44" spans="6:6" ht="15.75" customHeight="1" x14ac:dyDescent="0.15"/>
    <row r="45" spans="6:6" ht="15.75" customHeight="1" x14ac:dyDescent="0.15"/>
    <row r="46" spans="6:6" ht="15.75" customHeight="1" x14ac:dyDescent="0.15"/>
    <row r="47" spans="6:6" ht="15.75" customHeight="1" x14ac:dyDescent="0.15"/>
    <row r="48" spans="6:6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Valores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Beatriz Sonnemberg</cp:lastModifiedBy>
  <dcterms:modified xsi:type="dcterms:W3CDTF">2025-03-21T22:26:10Z</dcterms:modified>
</cp:coreProperties>
</file>